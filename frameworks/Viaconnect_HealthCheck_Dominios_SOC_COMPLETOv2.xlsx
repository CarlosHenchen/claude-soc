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9A72639-D88E-4635-91DC-CF4972F9D077}" xr6:coauthVersionLast="47" xr6:coauthVersionMax="47" xr10:uidLastSave="{00000000-0000-0000-0000-000000000000}"/>
  <bookViews>
    <workbookView xWindow="-120" yWindow="-120" windowWidth="51840" windowHeight="21120" tabRatio="500" activeTab="3" xr2:uid="{00000000-000D-0000-FFFF-FFFF00000000}"/>
  </bookViews>
  <sheets>
    <sheet name="Framework" sheetId="1" r:id="rId1"/>
    <sheet name="CTI" sheetId="2" r:id="rId2"/>
    <sheet name="Threat Hunting" sheetId="3" r:id="rId3"/>
    <sheet name="Detection Eng" sheetId="4" r:id="rId4"/>
    <sheet name="DFIR" sheetId="5" r:id="rId5"/>
    <sheet name="CSIRT" sheetId="6" r:id="rId6"/>
    <sheet name="PSIRT" sheetId="7" r:id="rId7"/>
    <sheet name="Deception" sheetId="8" r:id="rId8"/>
    <sheet name="Vuln Mgmt" sheetId="9" r:id="rId9"/>
    <sheet name="Automacao" sheetId="10" r:id="rId10"/>
    <sheet name="Dash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6" i="11" l="1"/>
  <c r="B56" i="11"/>
  <c r="C55" i="11"/>
  <c r="B55" i="11"/>
  <c r="G16" i="10"/>
  <c r="E16" i="10"/>
  <c r="G15" i="10"/>
  <c r="E15" i="10"/>
  <c r="G14" i="10"/>
  <c r="E14" i="10"/>
  <c r="G12" i="10"/>
  <c r="E12" i="10"/>
  <c r="G11" i="10"/>
  <c r="E11" i="10"/>
  <c r="G10" i="10"/>
  <c r="E10" i="10"/>
  <c r="M8" i="10"/>
  <c r="L8" i="10"/>
  <c r="G8" i="10"/>
  <c r="E8" i="10"/>
  <c r="M7" i="10"/>
  <c r="L7" i="10"/>
  <c r="G7" i="10"/>
  <c r="E7" i="10"/>
  <c r="G6" i="10"/>
  <c r="E6" i="10"/>
  <c r="G24" i="9"/>
  <c r="E24" i="9"/>
  <c r="G23" i="9"/>
  <c r="E23" i="9"/>
  <c r="G22" i="9"/>
  <c r="E22" i="9"/>
  <c r="G20" i="9"/>
  <c r="E20" i="9"/>
  <c r="G19" i="9"/>
  <c r="E19" i="9"/>
  <c r="G18" i="9"/>
  <c r="E18" i="9"/>
  <c r="G16" i="9"/>
  <c r="E16" i="9"/>
  <c r="G15" i="9"/>
  <c r="E15" i="9"/>
  <c r="G14" i="9"/>
  <c r="E14" i="9"/>
  <c r="G12" i="9"/>
  <c r="E12" i="9"/>
  <c r="G11" i="9"/>
  <c r="E11" i="9"/>
  <c r="G10" i="9"/>
  <c r="E10" i="9"/>
  <c r="M8" i="9"/>
  <c r="L8" i="9"/>
  <c r="G8" i="9"/>
  <c r="E8" i="9"/>
  <c r="M7" i="9"/>
  <c r="L7" i="9"/>
  <c r="G7" i="9"/>
  <c r="E7" i="9"/>
  <c r="G6" i="9"/>
  <c r="E6" i="9"/>
  <c r="G21" i="8"/>
  <c r="E21" i="8"/>
  <c r="G20" i="8"/>
  <c r="E20" i="8"/>
  <c r="G19" i="8"/>
  <c r="E19" i="8"/>
  <c r="G17" i="8"/>
  <c r="E17" i="8"/>
  <c r="G16" i="8"/>
  <c r="E16" i="8"/>
  <c r="G14" i="8"/>
  <c r="E14" i="8"/>
  <c r="G13" i="8"/>
  <c r="E13" i="8"/>
  <c r="G11" i="8"/>
  <c r="E11" i="8"/>
  <c r="M10" i="8"/>
  <c r="L10" i="8"/>
  <c r="G10" i="8"/>
  <c r="E10" i="8"/>
  <c r="M9" i="8"/>
  <c r="L9" i="8"/>
  <c r="M8" i="8"/>
  <c r="L8" i="8"/>
  <c r="G8" i="8"/>
  <c r="E8" i="8"/>
  <c r="M7" i="8"/>
  <c r="L7" i="8"/>
  <c r="G7" i="8"/>
  <c r="E7" i="8"/>
  <c r="G6" i="8"/>
  <c r="E6" i="8"/>
  <c r="G28" i="7"/>
  <c r="E28" i="7"/>
  <c r="G27" i="7"/>
  <c r="E27" i="7"/>
  <c r="G26" i="7"/>
  <c r="E26" i="7"/>
  <c r="G24" i="7"/>
  <c r="E24" i="7"/>
  <c r="G23" i="7"/>
  <c r="E23" i="7"/>
  <c r="G22" i="7"/>
  <c r="E22" i="7"/>
  <c r="G20" i="7"/>
  <c r="E20" i="7"/>
  <c r="G19" i="7"/>
  <c r="E19" i="7"/>
  <c r="G17" i="7"/>
  <c r="E17" i="7"/>
  <c r="G16" i="7"/>
  <c r="E16" i="7"/>
  <c r="G15" i="7"/>
  <c r="E15" i="7"/>
  <c r="G13" i="7"/>
  <c r="E13" i="7"/>
  <c r="G12" i="7"/>
  <c r="E12" i="7"/>
  <c r="G11" i="7"/>
  <c r="E11" i="7"/>
  <c r="M10" i="7"/>
  <c r="L10" i="7"/>
  <c r="M9" i="7"/>
  <c r="L9" i="7"/>
  <c r="G9" i="7"/>
  <c r="E9" i="7"/>
  <c r="M8" i="7"/>
  <c r="L8" i="7"/>
  <c r="G8" i="7"/>
  <c r="E8" i="7"/>
  <c r="M7" i="7"/>
  <c r="L7" i="7"/>
  <c r="G7" i="7"/>
  <c r="E7" i="7"/>
  <c r="G6" i="7"/>
  <c r="E6" i="7"/>
  <c r="G53" i="6"/>
  <c r="E53" i="6"/>
  <c r="G52" i="6"/>
  <c r="E52" i="6"/>
  <c r="G51" i="6"/>
  <c r="E51" i="6"/>
  <c r="G50" i="6"/>
  <c r="E50" i="6"/>
  <c r="G49" i="6"/>
  <c r="E49" i="6"/>
  <c r="G48" i="6"/>
  <c r="E48" i="6"/>
  <c r="G47" i="6"/>
  <c r="E47" i="6"/>
  <c r="G46" i="6"/>
  <c r="E46" i="6"/>
  <c r="G45" i="6"/>
  <c r="E45" i="6"/>
  <c r="G44" i="6"/>
  <c r="E44" i="6"/>
  <c r="G43" i="6"/>
  <c r="E43" i="6"/>
  <c r="G42" i="6"/>
  <c r="E42" i="6"/>
  <c r="G41" i="6"/>
  <c r="E41" i="6"/>
  <c r="H40" i="6"/>
  <c r="G40" i="6"/>
  <c r="E40" i="6"/>
  <c r="G39" i="6"/>
  <c r="E39" i="6"/>
  <c r="G38" i="6"/>
  <c r="E38" i="6"/>
  <c r="G37" i="6"/>
  <c r="E37" i="6"/>
  <c r="G35" i="6"/>
  <c r="E35" i="6"/>
  <c r="G34" i="6"/>
  <c r="E34" i="6"/>
  <c r="G33" i="6"/>
  <c r="E33" i="6"/>
  <c r="G32" i="6"/>
  <c r="E32" i="6"/>
  <c r="G31" i="6"/>
  <c r="E31" i="6"/>
  <c r="G30" i="6"/>
  <c r="E30" i="6"/>
  <c r="G29" i="6"/>
  <c r="E29" i="6"/>
  <c r="G28" i="6"/>
  <c r="E28" i="6"/>
  <c r="G27" i="6"/>
  <c r="E27" i="6"/>
  <c r="G26" i="6"/>
  <c r="E26" i="6"/>
  <c r="G24" i="6"/>
  <c r="E24" i="6"/>
  <c r="G23" i="6"/>
  <c r="E23" i="6"/>
  <c r="G22" i="6"/>
  <c r="E22" i="6"/>
  <c r="G21" i="6"/>
  <c r="E21" i="6"/>
  <c r="G20" i="6"/>
  <c r="E20" i="6"/>
  <c r="G19" i="6"/>
  <c r="E19" i="6"/>
  <c r="G18" i="6"/>
  <c r="E18" i="6"/>
  <c r="G16" i="6"/>
  <c r="E16" i="6"/>
  <c r="G15" i="6"/>
  <c r="E15" i="6"/>
  <c r="G14" i="6"/>
  <c r="E14" i="6"/>
  <c r="G13" i="6"/>
  <c r="E13" i="6"/>
  <c r="G12" i="6"/>
  <c r="E12" i="6"/>
  <c r="G11" i="6"/>
  <c r="E11" i="6"/>
  <c r="G10" i="6"/>
  <c r="E10" i="6"/>
  <c r="G9" i="6"/>
  <c r="E9" i="6"/>
  <c r="M8" i="6"/>
  <c r="L8" i="6"/>
  <c r="G8" i="6"/>
  <c r="E8" i="6"/>
  <c r="M7" i="6"/>
  <c r="L7" i="6"/>
  <c r="G7" i="6"/>
  <c r="E7" i="6"/>
  <c r="G6" i="6"/>
  <c r="E6" i="6"/>
  <c r="G22" i="5"/>
  <c r="E22" i="5"/>
  <c r="G21" i="5"/>
  <c r="E21" i="5"/>
  <c r="G20" i="5"/>
  <c r="E20" i="5"/>
  <c r="G19" i="5"/>
  <c r="E19" i="5"/>
  <c r="G18" i="5"/>
  <c r="E18" i="5"/>
  <c r="G17" i="5"/>
  <c r="E17" i="5"/>
  <c r="G15" i="5"/>
  <c r="E15" i="5"/>
  <c r="G14" i="5"/>
  <c r="E14" i="5"/>
  <c r="G13" i="5"/>
  <c r="E13" i="5"/>
  <c r="G12" i="5"/>
  <c r="E12" i="5"/>
  <c r="G10" i="5"/>
  <c r="E10" i="5"/>
  <c r="G9" i="5"/>
  <c r="E9" i="5"/>
  <c r="M8" i="5"/>
  <c r="L8" i="5"/>
  <c r="G8" i="5"/>
  <c r="E8" i="5"/>
  <c r="M7" i="5"/>
  <c r="L7" i="5"/>
  <c r="G7" i="5"/>
  <c r="E7" i="5"/>
  <c r="G6" i="5"/>
  <c r="E6" i="5"/>
  <c r="G22" i="4"/>
  <c r="E22" i="4"/>
  <c r="G21" i="4"/>
  <c r="E21" i="4"/>
  <c r="G19" i="4"/>
  <c r="E19" i="4"/>
  <c r="G18" i="4"/>
  <c r="E18" i="4"/>
  <c r="G17" i="4"/>
  <c r="E17" i="4"/>
  <c r="G16" i="4"/>
  <c r="E16" i="4"/>
  <c r="G15" i="4"/>
  <c r="E15" i="4"/>
  <c r="G13" i="4"/>
  <c r="E13" i="4"/>
  <c r="G12" i="4"/>
  <c r="E12" i="4"/>
  <c r="G11" i="4"/>
  <c r="E11" i="4"/>
  <c r="M9" i="4"/>
  <c r="L9" i="4"/>
  <c r="G9" i="4"/>
  <c r="E9" i="4"/>
  <c r="M8" i="4"/>
  <c r="L8" i="4"/>
  <c r="G8" i="4"/>
  <c r="E8" i="4"/>
  <c r="M7" i="4"/>
  <c r="G7" i="4"/>
  <c r="E7" i="4"/>
  <c r="G6" i="4"/>
  <c r="E6" i="4"/>
  <c r="G22" i="3"/>
  <c r="E22" i="3"/>
  <c r="G21" i="3"/>
  <c r="E21" i="3"/>
  <c r="G19" i="3"/>
  <c r="E19" i="3"/>
  <c r="G18" i="3"/>
  <c r="E18" i="3"/>
  <c r="G17" i="3"/>
  <c r="E17" i="3"/>
  <c r="G16" i="3"/>
  <c r="E16" i="3"/>
  <c r="G14" i="3"/>
  <c r="E14" i="3"/>
  <c r="G13" i="3"/>
  <c r="E13" i="3"/>
  <c r="G12" i="3"/>
  <c r="E12" i="3"/>
  <c r="G11" i="3"/>
  <c r="E11" i="3"/>
  <c r="M9" i="3"/>
  <c r="L9" i="3"/>
  <c r="G9" i="3"/>
  <c r="E9" i="3"/>
  <c r="M8" i="3"/>
  <c r="L8" i="3"/>
  <c r="G8" i="3"/>
  <c r="E8" i="3"/>
  <c r="M7" i="3"/>
  <c r="L7" i="3"/>
  <c r="G7" i="3"/>
  <c r="E7" i="3"/>
  <c r="G6" i="3"/>
  <c r="E6" i="3"/>
  <c r="G39" i="2"/>
  <c r="E39" i="2"/>
  <c r="G38" i="2"/>
  <c r="E38" i="2"/>
  <c r="G36" i="2"/>
  <c r="E36" i="2"/>
  <c r="G35" i="2"/>
  <c r="E35" i="2"/>
  <c r="G33" i="2"/>
  <c r="E33" i="2"/>
  <c r="G32" i="2"/>
  <c r="E32" i="2"/>
  <c r="G30" i="2"/>
  <c r="E30" i="2"/>
  <c r="G29" i="2"/>
  <c r="E29" i="2"/>
  <c r="G27" i="2"/>
  <c r="E27" i="2"/>
  <c r="G26" i="2"/>
  <c r="E26" i="2"/>
  <c r="G24" i="2"/>
  <c r="E24" i="2"/>
  <c r="G23" i="2"/>
  <c r="E23" i="2"/>
  <c r="G21" i="2"/>
  <c r="E21" i="2"/>
  <c r="G20" i="2"/>
  <c r="E20" i="2"/>
  <c r="G18" i="2"/>
  <c r="E18" i="2"/>
  <c r="G17" i="2"/>
  <c r="E17" i="2"/>
  <c r="G15" i="2"/>
  <c r="E15" i="2"/>
  <c r="G14" i="2"/>
  <c r="E14" i="2"/>
  <c r="G13" i="2"/>
  <c r="E13" i="2"/>
  <c r="G11" i="2"/>
  <c r="E11" i="2"/>
  <c r="G10" i="2"/>
  <c r="E10" i="2"/>
  <c r="M9" i="2"/>
  <c r="L9" i="2"/>
  <c r="M8" i="2"/>
  <c r="L8" i="2"/>
  <c r="G8" i="2"/>
  <c r="E8" i="2"/>
  <c r="M7" i="2"/>
  <c r="L7" i="2"/>
  <c r="G7" i="2"/>
  <c r="E7" i="2"/>
  <c r="G6" i="2"/>
  <c r="E6" i="2"/>
  <c r="C62" i="11" l="1"/>
  <c r="B62" i="11"/>
  <c r="E62" i="11" s="1"/>
  <c r="C61" i="11"/>
  <c r="C60" i="11"/>
  <c r="B60" i="11"/>
  <c r="E60" i="11" s="1"/>
  <c r="C58" i="11"/>
  <c r="B58" i="11"/>
  <c r="E58" i="11" s="1"/>
  <c r="C57" i="11"/>
  <c r="B57" i="11"/>
  <c r="E57" i="11" s="1"/>
  <c r="F56" i="11"/>
  <c r="E56" i="11"/>
  <c r="D56" i="11"/>
  <c r="F55" i="11"/>
  <c r="E55" i="11"/>
  <c r="D55" i="11"/>
  <c r="C54" i="11"/>
  <c r="C52" i="11"/>
  <c r="C51" i="11"/>
  <c r="C50" i="11"/>
  <c r="C49" i="11"/>
  <c r="B48" i="11"/>
  <c r="E48" i="11" s="1"/>
  <c r="B46" i="11"/>
  <c r="E46" i="11" s="1"/>
  <c r="C45" i="11"/>
  <c r="C24" i="11"/>
  <c r="B20" i="11"/>
  <c r="E20" i="11" s="1"/>
  <c r="H7" i="10"/>
  <c r="M6" i="10"/>
  <c r="L6" i="10"/>
  <c r="H6" i="10"/>
  <c r="H24" i="9"/>
  <c r="H23" i="9"/>
  <c r="H22" i="9"/>
  <c r="H20" i="9"/>
  <c r="C44" i="11"/>
  <c r="B44" i="11"/>
  <c r="E44" i="11" s="1"/>
  <c r="C43" i="11"/>
  <c r="B43" i="11"/>
  <c r="E43" i="11" s="1"/>
  <c r="C42" i="11"/>
  <c r="B42" i="11"/>
  <c r="E42" i="11" s="1"/>
  <c r="C41" i="11"/>
  <c r="B41" i="11"/>
  <c r="E41" i="11" s="1"/>
  <c r="E73" i="11" s="1"/>
  <c r="C39" i="11"/>
  <c r="B39" i="11"/>
  <c r="E39" i="11" s="1"/>
  <c r="C38" i="11"/>
  <c r="B38" i="11"/>
  <c r="E38" i="11" s="1"/>
  <c r="C37" i="11"/>
  <c r="B37" i="11"/>
  <c r="E37" i="11" s="1"/>
  <c r="C36" i="11"/>
  <c r="B36" i="11"/>
  <c r="E36" i="11" s="1"/>
  <c r="E72" i="11" s="1"/>
  <c r="C34" i="11"/>
  <c r="B34" i="11"/>
  <c r="E34" i="11" s="1"/>
  <c r="C33" i="11"/>
  <c r="B33" i="11"/>
  <c r="E33" i="11" s="1"/>
  <c r="C32" i="11"/>
  <c r="B32" i="11"/>
  <c r="E32" i="11" s="1"/>
  <c r="E71" i="11" s="1"/>
  <c r="C30" i="11"/>
  <c r="B30" i="11"/>
  <c r="E30" i="11" s="1"/>
  <c r="C29" i="11"/>
  <c r="B29" i="11"/>
  <c r="E29" i="11" s="1"/>
  <c r="C28" i="11"/>
  <c r="B28" i="11"/>
  <c r="E28" i="11" s="1"/>
  <c r="E70" i="11" s="1"/>
  <c r="C27" i="11"/>
  <c r="B27" i="11"/>
  <c r="E27" i="11" s="1"/>
  <c r="C25" i="11"/>
  <c r="B25" i="11"/>
  <c r="E25" i="11" s="1"/>
  <c r="B23" i="11"/>
  <c r="E23" i="11" s="1"/>
  <c r="C22" i="11"/>
  <c r="H8" i="9"/>
  <c r="C19" i="11"/>
  <c r="B19" i="11"/>
  <c r="E19" i="11" s="1"/>
  <c r="C18" i="11"/>
  <c r="B18" i="11"/>
  <c r="E18" i="11" s="1"/>
  <c r="C17" i="11"/>
  <c r="B17" i="11"/>
  <c r="E17" i="11" s="1"/>
  <c r="C16" i="11"/>
  <c r="B16" i="11"/>
  <c r="E16" i="11" s="1"/>
  <c r="C15" i="11"/>
  <c r="B15" i="11"/>
  <c r="E15" i="11" s="1"/>
  <c r="C14" i="11"/>
  <c r="B14" i="11"/>
  <c r="E14" i="11" s="1"/>
  <c r="C13" i="11"/>
  <c r="B13" i="11"/>
  <c r="E13" i="11" s="1"/>
  <c r="C12" i="11"/>
  <c r="B12" i="11"/>
  <c r="E12" i="11" s="1"/>
  <c r="C11" i="11"/>
  <c r="B11" i="11"/>
  <c r="E11" i="11" s="1"/>
  <c r="C10" i="11"/>
  <c r="B10" i="11"/>
  <c r="E10" i="11" s="1"/>
  <c r="H16" i="10"/>
  <c r="H15" i="10"/>
  <c r="H14" i="10"/>
  <c r="H12" i="10"/>
  <c r="H11" i="10"/>
  <c r="H10" i="10"/>
  <c r="H19" i="9"/>
  <c r="H18" i="9"/>
  <c r="H16" i="9"/>
  <c r="H15" i="9"/>
  <c r="H14" i="9"/>
  <c r="H12" i="9"/>
  <c r="H11" i="9"/>
  <c r="M10" i="9"/>
  <c r="L10" i="9"/>
  <c r="H10" i="9"/>
  <c r="M9" i="9"/>
  <c r="L9" i="9"/>
  <c r="H7" i="9"/>
  <c r="M6" i="9"/>
  <c r="L6" i="9"/>
  <c r="H6" i="9"/>
  <c r="H19" i="8"/>
  <c r="H17" i="8"/>
  <c r="H14" i="8"/>
  <c r="H11" i="8"/>
  <c r="H10" i="8"/>
  <c r="H7" i="8"/>
  <c r="M6" i="8"/>
  <c r="H51" i="6"/>
  <c r="H46" i="6"/>
  <c r="H45" i="6"/>
  <c r="H43" i="6"/>
  <c r="H24" i="2"/>
  <c r="H21" i="2"/>
  <c r="H24" i="7"/>
  <c r="H23" i="7"/>
  <c r="H22" i="7"/>
  <c r="H20" i="7"/>
  <c r="H19" i="7"/>
  <c r="H17" i="7"/>
  <c r="H16" i="7"/>
  <c r="H15" i="7"/>
  <c r="H13" i="7"/>
  <c r="H12" i="7"/>
  <c r="M11" i="7"/>
  <c r="L11" i="7"/>
  <c r="H11" i="7"/>
  <c r="H9" i="7"/>
  <c r="H8" i="7"/>
  <c r="H7" i="7"/>
  <c r="M6" i="7"/>
  <c r="L6" i="7"/>
  <c r="H6" i="7"/>
  <c r="H53" i="6"/>
  <c r="H52" i="6"/>
  <c r="H49" i="6"/>
  <c r="H48" i="6"/>
  <c r="H47" i="6"/>
  <c r="H42" i="6"/>
  <c r="H39" i="6"/>
  <c r="H38" i="6"/>
  <c r="H37" i="6"/>
  <c r="H35" i="6"/>
  <c r="H34" i="6"/>
  <c r="H33" i="6"/>
  <c r="H32" i="6"/>
  <c r="H31" i="6"/>
  <c r="H30" i="6"/>
  <c r="H29" i="6"/>
  <c r="H28" i="6"/>
  <c r="H27" i="6"/>
  <c r="H26" i="6"/>
  <c r="H24" i="6"/>
  <c r="H23" i="6"/>
  <c r="H22" i="6"/>
  <c r="H21" i="6"/>
  <c r="H20" i="6"/>
  <c r="H19" i="6"/>
  <c r="H18" i="6"/>
  <c r="H16" i="6"/>
  <c r="H15" i="6"/>
  <c r="H14" i="6"/>
  <c r="H13" i="6"/>
  <c r="H12" i="6"/>
  <c r="H11" i="6"/>
  <c r="H10" i="6"/>
  <c r="M9" i="6"/>
  <c r="L9" i="6"/>
  <c r="H9" i="6"/>
  <c r="H8" i="6"/>
  <c r="H7" i="6"/>
  <c r="H21" i="4"/>
  <c r="H18" i="4"/>
  <c r="H16" i="4"/>
  <c r="H13" i="4"/>
  <c r="H9" i="4"/>
  <c r="H30" i="2"/>
  <c r="H27" i="2"/>
  <c r="H26" i="2"/>
  <c r="M6" i="6"/>
  <c r="L6" i="6"/>
  <c r="H6" i="6"/>
  <c r="H22" i="5"/>
  <c r="H21" i="5"/>
  <c r="H20" i="5"/>
  <c r="H19" i="5"/>
  <c r="H18" i="5"/>
  <c r="H17" i="5"/>
  <c r="H15" i="5"/>
  <c r="H14" i="5"/>
  <c r="H13" i="5"/>
  <c r="H12" i="5"/>
  <c r="H10" i="5"/>
  <c r="H9" i="5"/>
  <c r="H8" i="5"/>
  <c r="H7" i="5"/>
  <c r="M6" i="5"/>
  <c r="L6" i="5"/>
  <c r="H6" i="5"/>
  <c r="H22" i="4"/>
  <c r="H19" i="4"/>
  <c r="H17" i="4"/>
  <c r="H15" i="4"/>
  <c r="H12" i="4"/>
  <c r="H11" i="4"/>
  <c r="H8" i="4"/>
  <c r="L7" i="4"/>
  <c r="H7" i="4"/>
  <c r="M6" i="4"/>
  <c r="L6" i="4"/>
  <c r="H6" i="4"/>
  <c r="H22" i="3"/>
  <c r="H21" i="3"/>
  <c r="H19" i="3"/>
  <c r="H18" i="3"/>
  <c r="H17" i="3"/>
  <c r="H16" i="3"/>
  <c r="H14" i="3"/>
  <c r="H13" i="3"/>
  <c r="H12" i="3"/>
  <c r="H11" i="3"/>
  <c r="H9" i="3"/>
  <c r="H8" i="3"/>
  <c r="H7" i="3"/>
  <c r="M6" i="3"/>
  <c r="L6" i="3"/>
  <c r="H6" i="3"/>
  <c r="H39" i="2"/>
  <c r="H38" i="2"/>
  <c r="H36" i="2"/>
  <c r="H33" i="2"/>
  <c r="H20" i="2"/>
  <c r="H18" i="2"/>
  <c r="H17" i="2"/>
  <c r="M16" i="2"/>
  <c r="L16" i="2"/>
  <c r="M15" i="2"/>
  <c r="L15" i="2"/>
  <c r="H15" i="2"/>
  <c r="M14" i="2"/>
  <c r="L14" i="2"/>
  <c r="H14" i="2"/>
  <c r="M13" i="2"/>
  <c r="L13" i="2"/>
  <c r="H13" i="2"/>
  <c r="M12" i="2"/>
  <c r="L12" i="2"/>
  <c r="M11" i="2"/>
  <c r="L11" i="2"/>
  <c r="H11" i="2"/>
  <c r="M10" i="2"/>
  <c r="L10" i="2"/>
  <c r="H10" i="2"/>
  <c r="H8" i="2"/>
  <c r="H7" i="2"/>
  <c r="M6" i="2"/>
  <c r="L6" i="2"/>
  <c r="H6" i="2"/>
  <c r="H27" i="7"/>
  <c r="H26" i="7"/>
  <c r="H32" i="2"/>
  <c r="H29" i="2"/>
  <c r="H23" i="2"/>
  <c r="B52" i="11"/>
  <c r="E52" i="11" s="1"/>
  <c r="C23" i="11"/>
  <c r="C20" i="11"/>
  <c r="H21" i="8"/>
  <c r="H16" i="8"/>
  <c r="H8" i="8"/>
  <c r="H6" i="8"/>
  <c r="H50" i="6"/>
  <c r="H44" i="6"/>
  <c r="H41" i="6"/>
  <c r="H35" i="2"/>
  <c r="B61" i="11"/>
  <c r="E61" i="11" s="1"/>
  <c r="B54" i="11"/>
  <c r="E54" i="11" s="1"/>
  <c r="H20" i="8"/>
  <c r="H13" i="8"/>
  <c r="L6" i="8"/>
  <c r="H28" i="7"/>
  <c r="B51" i="11"/>
  <c r="E51" i="11" s="1"/>
  <c r="E75" i="11" s="1"/>
  <c r="B50" i="11"/>
  <c r="E50" i="11" s="1"/>
  <c r="B49" i="11"/>
  <c r="E49" i="11" s="1"/>
  <c r="C48" i="11"/>
  <c r="C46" i="11"/>
  <c r="B45" i="11"/>
  <c r="E45" i="11" s="1"/>
  <c r="B24" i="11"/>
  <c r="E24" i="11" s="1"/>
  <c r="B22" i="11"/>
  <c r="E22" i="11" s="1"/>
  <c r="H8" i="10"/>
  <c r="D62" i="11" l="1"/>
  <c r="F62" i="11"/>
  <c r="D61" i="11"/>
  <c r="F61" i="11"/>
  <c r="D60" i="11"/>
  <c r="F60" i="11"/>
  <c r="D58" i="11"/>
  <c r="F58" i="11"/>
  <c r="D57" i="11"/>
  <c r="F57" i="11"/>
  <c r="F54" i="11"/>
  <c r="D54" i="11"/>
  <c r="D52" i="11"/>
  <c r="F52" i="11"/>
  <c r="D51" i="11"/>
  <c r="F51" i="11"/>
  <c r="F75" i="11" s="1"/>
  <c r="D50" i="11"/>
  <c r="F50" i="11"/>
  <c r="D49" i="11"/>
  <c r="F49" i="11"/>
  <c r="D45" i="11"/>
  <c r="F45" i="11"/>
  <c r="F24" i="11"/>
  <c r="D24" i="11"/>
  <c r="D44" i="11"/>
  <c r="F44" i="11"/>
  <c r="D43" i="11"/>
  <c r="F43" i="11"/>
  <c r="D42" i="11"/>
  <c r="F42" i="11"/>
  <c r="D41" i="11"/>
  <c r="F41" i="11"/>
  <c r="F73" i="11" s="1"/>
  <c r="D39" i="11"/>
  <c r="F39" i="11"/>
  <c r="D38" i="11"/>
  <c r="F38" i="11"/>
  <c r="D37" i="11"/>
  <c r="F37" i="11"/>
  <c r="D36" i="11"/>
  <c r="F36" i="11"/>
  <c r="F72" i="11" s="1"/>
  <c r="D34" i="11"/>
  <c r="F34" i="11"/>
  <c r="D33" i="11"/>
  <c r="F33" i="11"/>
  <c r="D32" i="11"/>
  <c r="F32" i="11"/>
  <c r="F71" i="11" s="1"/>
  <c r="D30" i="11"/>
  <c r="F30" i="11"/>
  <c r="D29" i="11"/>
  <c r="F29" i="11"/>
  <c r="D28" i="11"/>
  <c r="F28" i="11"/>
  <c r="F70" i="11" s="1"/>
  <c r="D27" i="11"/>
  <c r="F27" i="11"/>
  <c r="D25" i="11"/>
  <c r="F25" i="11"/>
  <c r="D22" i="11"/>
  <c r="F22" i="11"/>
  <c r="D19" i="11"/>
  <c r="F19" i="11"/>
  <c r="D18" i="11"/>
  <c r="F18" i="11"/>
  <c r="D17" i="11"/>
  <c r="F17" i="11"/>
  <c r="D16" i="11"/>
  <c r="F16" i="11"/>
  <c r="D15" i="11"/>
  <c r="F15" i="11"/>
  <c r="D14" i="11"/>
  <c r="F14" i="11"/>
  <c r="D13" i="11"/>
  <c r="F13" i="11"/>
  <c r="D12" i="11"/>
  <c r="F12" i="11"/>
  <c r="D11" i="11"/>
  <c r="F11" i="11"/>
  <c r="D10" i="11"/>
  <c r="F10" i="11"/>
  <c r="E63" i="11"/>
  <c r="B4" i="11" s="1"/>
  <c r="D4" i="11" s="1"/>
  <c r="E67" i="11"/>
  <c r="D23" i="11"/>
  <c r="F23" i="11"/>
  <c r="F20" i="11"/>
  <c r="D20" i="11"/>
  <c r="D48" i="11"/>
  <c r="F48" i="11"/>
  <c r="D46" i="11"/>
  <c r="F46" i="11"/>
  <c r="F74" i="11" s="1"/>
  <c r="E69" i="11"/>
  <c r="E68" i="11"/>
  <c r="E74" i="11"/>
  <c r="F63" i="11" l="1"/>
  <c r="F67" i="11"/>
  <c r="F68" i="11"/>
  <c r="F69" i="11"/>
</calcChain>
</file>

<file path=xl/sharedStrings.xml><?xml version="1.0" encoding="utf-8"?>
<sst xmlns="http://schemas.openxmlformats.org/spreadsheetml/2006/main" count="1027" uniqueCount="812">
  <si>
    <t>VIACONNECT • HEALTH CHECK — Maturidade dos Domínios do SOC (versão completa)</t>
  </si>
  <si>
    <t>Sistema de avaliação · um domínio por aba · estrutura e nomenclatura fiéis ao framework oficial de cada domínio</t>
  </si>
  <si>
    <t>1. Sobre este instrumento</t>
  </si>
  <si>
    <t>Esta versão reproduz fielmente a estrutura de cada framework de referência: os parâmetros do SIM3 (O/H/T/P, 45 itens), os 11 domínios do CTI-CMM alinhados ao C2M2, os 15 passos do CREST em 3 fases, as 6 áreas de serviço do FIRST PSIRT, os 5 domínios PIACT do SANS VMMM, os 3 pilares da Detection Engineering Maturity Matrix, as 5 colunas do MITRE Engage e o ciclo PEAK/HMM de threat hunting. Cada item usa a nomenclatura oficial (ex.: O-1 Mandate, P-8 Audit &amp; Feedback).</t>
  </si>
  <si>
    <t>Como cada framework usa uma escala própria (CTI0–CTI3, HMM0–HMM4, 0–4 do SIM3, 0–3 do PSIRT, 1–5 do CREST/VMMM), a aba Dash normaliza tudo em percentual de maturidade (nível ÷ máximo da escala) para permitir o radar comparativo entre os 9 domínios. Os itens são autorais: descrevem o que avaliar, sem reproduzir texto proprietário dos manuais originais.</t>
  </si>
  <si>
    <t>2. Modelos de referência usados neste arquivo</t>
  </si>
  <si>
    <t>Aba</t>
  </si>
  <si>
    <t>Modelo de referência</t>
  </si>
  <si>
    <t>Mantenedor</t>
  </si>
  <si>
    <t>Escala</t>
  </si>
  <si>
    <t>Referência oficial</t>
  </si>
  <si>
    <t>CTI</t>
  </si>
  <si>
    <t>CTI-CMM v2 — 11 domínios alinhados ao C2M2</t>
  </si>
  <si>
    <t>Comunidade CTI-CMM</t>
  </si>
  <si>
    <t>0–3 (CTI0–CTI3)</t>
  </si>
  <si>
    <t>https://cti-cmm.org</t>
  </si>
  <si>
    <t>Threat Hunting</t>
  </si>
  <si>
    <t>PEAK (Prepare/Execute/Act) + HMM</t>
  </si>
  <si>
    <t>D. Bianco, R. Fetterman / Splunk</t>
  </si>
  <si>
    <t>0–4 (HMM0–HMM4)</t>
  </si>
  <si>
    <t>https://www.splunk.com  ·  https://www.threathunting.net</t>
  </si>
  <si>
    <t>Detection Eng</t>
  </si>
  <si>
    <t>Detection Engineering Maturity Matrix (3 pilares)</t>
  </si>
  <si>
    <t>Kyle Bailey</t>
  </si>
  <si>
    <t>1–5</t>
  </si>
  <si>
    <t>https://detectionengineering.io</t>
  </si>
  <si>
    <t>DFIR</t>
  </si>
  <si>
    <t>CREST CSIR Maturity Assessment — 15 passos / 3 fases</t>
  </si>
  <si>
    <t>CREST</t>
  </si>
  <si>
    <t>https://www.crest-approved.org</t>
  </si>
  <si>
    <t>CSIRT</t>
  </si>
  <si>
    <t>SIM3 v2 interim — 45 parâmetros (O/H/T/P)</t>
  </si>
  <si>
    <t>Open CSIRT Foundation</t>
  </si>
  <si>
    <t>0–4</t>
  </si>
  <si>
    <t>https://opencsirt.org/csirt-maturity/sim3-and-references/</t>
  </si>
  <si>
    <t>PSIRT</t>
  </si>
  <si>
    <t>FIRST PSIRT Services Framework — 6 áreas de serviço</t>
  </si>
  <si>
    <t>FIRST.org</t>
  </si>
  <si>
    <t>0–3</t>
  </si>
  <si>
    <t>https://www.first.org/standards/frameworks/psirts/</t>
  </si>
  <si>
    <t>Deception</t>
  </si>
  <si>
    <t>MITRE Engage — Prepare/Expose/Affect/Elicit/Understand</t>
  </si>
  <si>
    <t>MITRE</t>
  </si>
  <si>
    <t>0–5 (adaptada)</t>
  </si>
  <si>
    <t>https://engage.mitre.org</t>
  </si>
  <si>
    <t>Vuln Mgmt</t>
  </si>
  <si>
    <t>SANS VMMM — ciclo PIACT (5 domínios)</t>
  </si>
  <si>
    <t>SANS · J. Risto / D. Hazar</t>
  </si>
  <si>
    <t>https://www.sans.org/blog/vulnerability-management-maturity-model</t>
  </si>
  <si>
    <t>Automacao</t>
  </si>
  <si>
    <t>SOC-CMM (Automation &amp; Orchestration) + INFORM</t>
  </si>
  <si>
    <t>soc-cmm.com / MITRE CTID</t>
  </si>
  <si>
    <t>https://www.soc-cmm.com  ·  https://ctid.mitre.org</t>
  </si>
  <si>
    <t>3. Escalas de maturidade</t>
  </si>
  <si>
    <t>Escala CTI-CMM (CTI0–CTI3)</t>
  </si>
  <si>
    <t>0</t>
  </si>
  <si>
    <t>CTI0 · Pré-fundacional</t>
  </si>
  <si>
    <t>Nenhuma atividade de inteligência de ameaças realizada nesta área.</t>
  </si>
  <si>
    <t>1</t>
  </si>
  <si>
    <t>CTI1 · Fundacional</t>
  </si>
  <si>
    <t>Atividades ad hoc, não planejadas e reativas.</t>
  </si>
  <si>
    <t>2</t>
  </si>
  <si>
    <t>CTI2 · Avançado</t>
  </si>
  <si>
    <t>Atividades planejadas, consistentes e repetíveis, com foco em resultados de curto e médio prazo.</t>
  </si>
  <si>
    <t>3</t>
  </si>
  <si>
    <t>CTI3 · Líder</t>
  </si>
  <si>
    <t>Práticas mensuráveis e alinhadas a resultados de negócio, com recomendações de longo prazo.</t>
  </si>
  <si>
    <t>Escala HMM — Hunting Maturity Model (HMM0–HMM4)</t>
  </si>
  <si>
    <t>HMM0 · Inicial</t>
  </si>
  <si>
    <t>Dependência exclusiva de alertas automáticos; pouca coleta de dados; sem capacidade de hunting.</t>
  </si>
  <si>
    <t>HMM1 · Mínimo</t>
  </si>
  <si>
    <t>Incorpora inteligência de ameaças e faz buscas pontuais sobre coleta moderada de dados.</t>
  </si>
  <si>
    <t>HMM2 · Procedural</t>
  </si>
  <si>
    <t>Executa regularmente procedimentos de hunting criados por terceiros, com boa coleta de dados.</t>
  </si>
  <si>
    <t>HMM3 · Inovador</t>
  </si>
  <si>
    <t>Cria e documenta procedimentos próprios de hunting com técnicas analíticas variadas.</t>
  </si>
  <si>
    <t>4</t>
  </si>
  <si>
    <t>HMM4 · Líder</t>
  </si>
  <si>
    <t>Automatiza os procedimentos bem-sucedidos e concentra o esforço humano em inovação contínua.</t>
  </si>
  <si>
    <t>Escala 1–5 (estilo CMMI, usada por CREST, SANS VMMM, RTCMM e PTMM)</t>
  </si>
  <si>
    <t>Inicial</t>
  </si>
  <si>
    <t>Prática ad hoc e imprevisível; depende de esforço individual.</t>
  </si>
  <si>
    <t>Gerenciado</t>
  </si>
  <si>
    <t>Repetível e gerenciada caso a caso, com disciplina básica.</t>
  </si>
  <si>
    <t>Definido</t>
  </si>
  <si>
    <t>Padronizada e documentada para toda a organização.</t>
  </si>
  <si>
    <t>Medido quantitativamente</t>
  </si>
  <si>
    <t>Controlada com métricas e metas de desempenho.</t>
  </si>
  <si>
    <t>5</t>
  </si>
  <si>
    <t>Otimizado</t>
  </si>
  <si>
    <t>Foco em melhoria contínua e otimização baseada em dados.</t>
  </si>
  <si>
    <t>Escala SIM3 (0–4)</t>
  </si>
  <si>
    <t>Indisponível / indefinido</t>
  </si>
  <si>
    <t>O parâmetro não existe ou não está definido para o time.</t>
  </si>
  <si>
    <t>Implícito</t>
  </si>
  <si>
    <t>Conhecido e praticado de forma tácita ("sempre fizemos assim"), sem registro escrito.</t>
  </si>
  <si>
    <t>Explícito, interno</t>
  </si>
  <si>
    <t>Documentado e disponível dentro do time, sem formalização superior.</t>
  </si>
  <si>
    <t>Explícito, formalizado</t>
  </si>
  <si>
    <t>Documentado e aprovado formalmente pela liderança responsável pelo time.</t>
  </si>
  <si>
    <t>Explícito, auditado</t>
  </si>
  <si>
    <t>Formalizado e sujeito a controle/auditoria por níveis de governança acima do time.</t>
  </si>
  <si>
    <t>Escala PSIRT (0–3, conforme níveis do PSIRT Maturity Document)</t>
  </si>
  <si>
    <t>Inexistente</t>
  </si>
  <si>
    <t>Não há capacidade estabelecida para o item.</t>
  </si>
  <si>
    <t>Básico</t>
  </si>
  <si>
    <t>Capacidades essenciais montadas; operação predominantemente reativa.</t>
  </si>
  <si>
    <t>Intermediário</t>
  </si>
  <si>
    <t>Políticas e processos formalizados; transição do reativo para o proativo.</t>
  </si>
  <si>
    <t>Avançado</t>
  </si>
  <si>
    <t>Processos refinados, integrados ao ciclo de desenvolvimento e operando proativamente.</t>
  </si>
  <si>
    <t>Escala 0–5 (estilo SOC-CMM / CMMI)</t>
  </si>
  <si>
    <t>A prática não existe ou não há qualquer evidência dela.</t>
  </si>
  <si>
    <t>Inicial (ad hoc)</t>
  </si>
  <si>
    <t>Executada de forma pontual, dependente de pessoas específicas, sem documentação.</t>
  </si>
  <si>
    <t>Repetível</t>
  </si>
  <si>
    <t>Executada de forma consistente, com documentação parcial e resultados ainda variáveis.</t>
  </si>
  <si>
    <t>Documentada, padronizada, comunicada e efetivamente seguida pela equipe.</t>
  </si>
  <si>
    <t>Gerenciado e medido</t>
  </si>
  <si>
    <t>Acompanhada por indicadores; decisões de melhoria baseadas em dados.</t>
  </si>
  <si>
    <t>Em melhoria contínua estruturada, integrada aos demais processos.</t>
  </si>
  <si>
    <t>4. Como usar</t>
  </si>
  <si>
    <t>1. Em cada aba, selecione em "Avaliação atual" o nível observado usando a escala oficial daquele framework (seção 3).</t>
  </si>
  <si>
    <t>2. Defina em "Meta" o nível-alvo. No CREST e no SIM3, o alvo costuma variar por criticidade do ativo/serviço.</t>
  </si>
  <si>
    <t>3. Registre evidências (documentos, telas, entrevistas) que sustentem cada nota — exigência de níveis altos no SIM3/CREST.</t>
  </si>
  <si>
    <t>4. Abra a aba Dash: maturidade geral, radar dos 9 domínios, barras por categoria e um gráfico próprio por domínio com seus subdomínios.</t>
  </si>
  <si>
    <t>5. Lembre: maturidade máxima nem sempre é o objetivo. Calibre a meta de cada domínio à necessidade real do cliente.</t>
  </si>
  <si>
    <t>6. Reavalie periodicamente para evidenciar a evolução ao longo do tempo.</t>
  </si>
  <si>
    <t>Instrumento autoral Viaconnect que segue a ESTRUTURA e a NOMENCLATURA pública de cada framework, sem reproduzir o texto proprietário dos manuais. Para avaliação oficial/certificável use a ferramenta original do mantenedor (SIM3 self-assessment da OCF, CREST CSIR tool, planilha CTI-CMM, etc.). SIM3 © Open CSIRT Foundation; CREST © CREST; PSIRT Services Framework © FIRST; MITRE Engage © The MITRE Corporation; PEAK/HMM © Splunk/D. Bianco; VMMM © SANS.</t>
  </si>
  <si>
    <t>CTI — Cyber Threat Intelligence (CTI-CMM v2)</t>
  </si>
  <si>
    <t>CTI-CMM v2 · 11 domínios alinhados ao C2M2, cada um com a "CTI Mission" que o sustenta · escala CTI0–CTI3 (stakeholder-first).</t>
  </si>
  <si>
    <t>Como preencher: selecione o nível observado em "Avaliação atual" e o nível desejado em "Meta". As colunas Nível, Nível meta e Gap calculam automaticamente. Registre em "Evidências" o que sustenta a nota.</t>
  </si>
  <si>
    <t>ID</t>
  </si>
  <si>
    <t>Item de avaliação</t>
  </si>
  <si>
    <t>Orientação para o avaliador</t>
  </si>
  <si>
    <t>Avaliação atual</t>
  </si>
  <si>
    <t>Nível</t>
  </si>
  <si>
    <t>Meta (nível desejado)</t>
  </si>
  <si>
    <t>Nível meta</t>
  </si>
  <si>
    <t>Gap</t>
  </si>
  <si>
    <t>Evidências / observações</t>
  </si>
  <si>
    <t>MATURIDADE POR SUBDOMÍNIO</t>
  </si>
  <si>
    <t>PROGRAM · Gestão do Programa de CTI</t>
  </si>
  <si>
    <t>Subdomínio</t>
  </si>
  <si>
    <t>Atual</t>
  </si>
  <si>
    <t>Meta</t>
  </si>
  <si>
    <t>CTI-01</t>
  </si>
  <si>
    <t>A CTI possui requisitos prioritários de inteligência (PIRs) definidos com os stakeholders e revisados.</t>
  </si>
  <si>
    <t>Domínio Program Management do C2M2. O CTI-CMM é stakeholder-first: sem PIRs a coleta não tem direção.</t>
  </si>
  <si>
    <t>PROGRAM</t>
  </si>
  <si>
    <t>CTI-02</t>
  </si>
  <si>
    <t>Papéis, governança e orçamento da função de CTI estão estabelecidos.</t>
  </si>
  <si>
    <t>Avalie mandato, reporte e sustentação financeira da função.</t>
  </si>
  <si>
    <t>ASSET</t>
  </si>
  <si>
    <t>CTI-03</t>
  </si>
  <si>
    <t>O valor da CTI é medido e comunicado às lideranças (métricas de impacto por stakeholder).</t>
  </si>
  <si>
    <t>CTI3 exige práticas mensuráveis ligadas a resultado de negócio.</t>
  </si>
  <si>
    <t>THREAT</t>
  </si>
  <si>
    <t>ASSET · Asset, Change &amp; Configuration Management</t>
  </si>
  <si>
    <t>RISK</t>
  </si>
  <si>
    <t>CTI-04</t>
  </si>
  <si>
    <t>A CTI apoia a gestão de superfície de ataque e de ativos expostos (EASM, shadow IT).</t>
  </si>
  <si>
    <t>CTI Mission do domínio Asset: reduzir exposição informando o inventário e a superfície.</t>
  </si>
  <si>
    <t>SITUATION</t>
  </si>
  <si>
    <t>CTI-05</t>
  </si>
  <si>
    <t>Inteligência sobre exposições alimenta priorização de mudanças e configurações.</t>
  </si>
  <si>
    <t>Avalie se achados de exposição externa chegam aos donos de ativos.</t>
  </si>
  <si>
    <t>RESPONSE</t>
  </si>
  <si>
    <t>THREAT · Threat &amp; Vulnerability Management</t>
  </si>
  <si>
    <t>ACCESS</t>
  </si>
  <si>
    <t>CTI-06</t>
  </si>
  <si>
    <t>A CTI apoia a priorização de vulnerabilidades com contexto de exploração ativa e ator.</t>
  </si>
  <si>
    <t>Domínio fundamental (THREAT). Procure inteligência alimentando patch prioritization (KEV/EPSS + ator).</t>
  </si>
  <si>
    <t>WORKFORCE</t>
  </si>
  <si>
    <t>CTI-07</t>
  </si>
  <si>
    <t>A CTI apoia detection engineering e o SOC com TTPs e IOCs contextualizados.</t>
  </si>
  <si>
    <t>O THREAT sustenta vuln mgmt, detecção e SOC — missão central do CTI segundo o modelo.</t>
  </si>
  <si>
    <t>ARCHITECTURE</t>
  </si>
  <si>
    <t>CTI-08</t>
  </si>
  <si>
    <t>A CTI mantém perfis de atores relevantes ao setor e à geografia do cliente.</t>
  </si>
  <si>
    <t>Avalie cobertura de adversários priorizados e mapeamento a ATT&amp;CK.</t>
  </si>
  <si>
    <t>THIRD-PARTIES</t>
  </si>
  <si>
    <t>RISK · Risk Management</t>
  </si>
  <si>
    <t>FRAUD</t>
  </si>
  <si>
    <t>CTI-09</t>
  </si>
  <si>
    <t>A CTI fornece avaliações de risco informadas por ameaça (threat-informed risk).</t>
  </si>
  <si>
    <t>CTI Mission do domínio Risk: quantificar risco com base no cenário de ameaças real.</t>
  </si>
  <si>
    <t>CTI-10</t>
  </si>
  <si>
    <t>A inteligência apoia decisões de aceitação e tratamento de risco.</t>
  </si>
  <si>
    <t>Procure exemplos de decisões de risco influenciadas por produtos de CTI.</t>
  </si>
  <si>
    <t>SITUATION · Situational Awareness</t>
  </si>
  <si>
    <t>CTI-11</t>
  </si>
  <si>
    <t>A CTI estabelece consciência situacional do cenário de ameaças (atual e prospectivo).</t>
  </si>
  <si>
    <t>Domínio Situation: coletar, monitorar, analisar, alarmar e reportar para reduzir incerteza.</t>
  </si>
  <si>
    <t>CTI-12</t>
  </si>
  <si>
    <t>Produtos estratégicos, operacionais e táticos são entregues aos públicos certos.</t>
  </si>
  <si>
    <t>Cada público consome um nível diferente; avalie exemplos reais dos três.</t>
  </si>
  <si>
    <t>RESPONSE · Event &amp; Incident Response, Continuity</t>
  </si>
  <si>
    <t>CTI-13</t>
  </si>
  <si>
    <t>A CTI apoia a resposta a incidentes com enriquecimento de indicadores e atribuição.</t>
  </si>
  <si>
    <t>Domínio RESPONSE: missão fundamental do CTI junto ao IR. Procure CTI dentro do ciclo de resposta.</t>
  </si>
  <si>
    <t>CTI-14</t>
  </si>
  <si>
    <t>Lições de incidentes retroalimentam requisitos e produção de inteligência.</t>
  </si>
  <si>
    <t>Feche o ciclo: o incidente deve gerar novos PIRs e detecções.</t>
  </si>
  <si>
    <t>ACCESS · Identity &amp; Access Management</t>
  </si>
  <si>
    <t>CTI-15</t>
  </si>
  <si>
    <t>A CTI informa estratégias de identidade com inteligência sobre ameaças a credenciais e acesso.</t>
  </si>
  <si>
    <t>CTI Mission do domínio Access: passar de "gerir logins" para "gerir risco de identidade".</t>
  </si>
  <si>
    <t>CTI-16</t>
  </si>
  <si>
    <t>Inteligência sobre vazamento de credenciais e abuso de identidade é monitorada e acionável.</t>
  </si>
  <si>
    <t>Avalie monitoramento de credential leaks e resposta associada.</t>
  </si>
  <si>
    <t>WORKFORCE · Workforce Management</t>
  </si>
  <si>
    <t>CTI-17</t>
  </si>
  <si>
    <t>A CTI provê capacitação e conscientização baseada em ameaças reais ao cliente.</t>
  </si>
  <si>
    <t>CTI Mission do domínio Workforce: treinar com base no que ameaça de fato a organização.</t>
  </si>
  <si>
    <t>CTI-18</t>
  </si>
  <si>
    <t>A competência da equipe de CTI é desenvolvida (OSINT, análise, ferramentas).</t>
  </si>
  <si>
    <t>Treinamento contínuo sustenta a evolução do programa.</t>
  </si>
  <si>
    <t>ARCHITECTURE · Cybersecurity Architecture</t>
  </si>
  <si>
    <t>CTI-19</t>
  </si>
  <si>
    <t>A CTI informa decisões de arquitetura de segurança com base em ameaças e TTPs.</t>
  </si>
  <si>
    <t>CTI Mission do domínio Architecture: orientar controles pelo comportamento adversário.</t>
  </si>
  <si>
    <t>CTI-20</t>
  </si>
  <si>
    <t>Inteligência apoia priorização de controles defensivos e defense-in-depth.</t>
  </si>
  <si>
    <t>Avalie se a arquitetura é guiada por ameaça e não só por compliance.</t>
  </si>
  <si>
    <t>THIRD-PARTIES · Third-Party Risk Management</t>
  </si>
  <si>
    <t>CTI-21</t>
  </si>
  <si>
    <t>A CTI fornece inteligência sobre risco de terceiros e cadeia de suprimentos.</t>
  </si>
  <si>
    <t>CTI Mission do domínio Third-Parties: monitorar exposição de fornecedores e supply chain.</t>
  </si>
  <si>
    <t>CTI-22</t>
  </si>
  <si>
    <t>Comprometimentos de terceiros relevantes são monitorados e comunicados.</t>
  </si>
  <si>
    <t>Avalie monitoramento de breaches em fornecedores críticos.</t>
  </si>
  <si>
    <t>FRAUD · Fraud (apêndice CTI-CMM v1.1+)</t>
  </si>
  <si>
    <t>CTI-23</t>
  </si>
  <si>
    <t>A CTI apoia a prevenção e detecção de fraude com inteligência específica.</t>
  </si>
  <si>
    <t>Domínio Fraud adicionado na v1.1. Aplique conforme o cliente tenha exposição a fraude.</t>
  </si>
  <si>
    <t>CTI-24</t>
  </si>
  <si>
    <t>Tendências de fraude e kits/serviços do submundo são monitorados.</t>
  </si>
  <si>
    <t>Avalie monitoramento de dark web e fraud intelligence quando aplicável.</t>
  </si>
  <si>
    <t>THREAT HUNTING — PEAK (Prepare · Execute · Act) + HMM</t>
  </si>
  <si>
    <t>Framework PEAK (Splunk/Bianco-Fetterman) estruturado em Prepare/Execute/Act, três tipos de hunt e a hierarquia de saídas; maturidade pelo HMM0–HMM4.</t>
  </si>
  <si>
    <t>PREPARE · Preparação do hunt</t>
  </si>
  <si>
    <t>TH-01</t>
  </si>
  <si>
    <t>As hipóteses são formuladas com o teste ABLE (Actor, Behavior, Location, Evidence).</t>
  </si>
  <si>
    <t>PEAK recomenda o ABLE para garantir que a hipótese seja testável com os dados disponíveis.</t>
  </si>
  <si>
    <t>PREPARE</t>
  </si>
  <si>
    <t>TH-02</t>
  </si>
  <si>
    <t>O escopo e o plano do hunt são definidos antes da execução (dados, janela, ativos-alvo).</t>
  </si>
  <si>
    <t>Fase Prepare do PEAK: escopo claro evita hunts errantes e improdutivos.</t>
  </si>
  <si>
    <t>EXECUTE</t>
  </si>
  <si>
    <t>TH-03</t>
  </si>
  <si>
    <t>A telemetria necessária (endpoint, rede, identidade, nuvem) está disponível e pesquisável.</t>
  </si>
  <si>
    <t>No HMM, a abrangência e o acesso aos dados determinam fortemente o nível de maturidade.</t>
  </si>
  <si>
    <t>ACT · Documentação,</t>
  </si>
  <si>
    <t>TH-04</t>
  </si>
  <si>
    <t>A retenção permite investigar a janela temporal relevante da hipótese.</t>
  </si>
  <si>
    <t>Campanhas se estendem por semanas/meses; avalie a janela efetivamente pesquisável.</t>
  </si>
  <si>
    <t>MÉTRICAS</t>
  </si>
  <si>
    <t>EXECUTE · Execução do hunt</t>
  </si>
  <si>
    <t>TH-05</t>
  </si>
  <si>
    <t>Hunts hypothesis-driven (baseados em hipótese) são executados regularmente.</t>
  </si>
  <si>
    <t>Primeiro tipo de hunt do PEAK. Cadência regular distingue programa de iniciativa pontual.</t>
  </si>
  <si>
    <t>TH-06</t>
  </si>
  <si>
    <t>Hunts baseline (data-driven) estabelecem o normal para revelar desvios.</t>
  </si>
  <si>
    <t>Segundo tipo do PEAK: caracterizar o ambiente para expor anomalias.</t>
  </si>
  <si>
    <t>TH-07</t>
  </si>
  <si>
    <t>Hunts model-assisted (M-ATH) usam modelos/ML para escalar a análise.</t>
  </si>
  <si>
    <t>Terceiro tipo do PEAK. Programas maduros evoluem para apoio algorítmico (HMM3–HMM4).</t>
  </si>
  <si>
    <t>TH-08</t>
  </si>
  <si>
    <t>A análise dos hunters cobre além de IOCs, focando comportamentos e TTPs (Pyramid of Pain).</t>
  </si>
  <si>
    <t>Habilidade analítica é um dos três eixos do HMM; subir na pirâmide aumenta o valor do hunt.</t>
  </si>
  <si>
    <t>ACT · Documentação, automação e comunicação</t>
  </si>
  <si>
    <t>TH-09</t>
  </si>
  <si>
    <t>Cada hunt é documentado em formato padronizado (escopo, dados, achados, lições).</t>
  </si>
  <si>
    <t>Fase Act do PEAK. Documentação permite repetir, auditar e transferir conhecimento.</t>
  </si>
  <si>
    <t>TH-10</t>
  </si>
  <si>
    <t>Achados são convertidos na hierarquia de saídas: detecção automatizada &gt; visibilidade &gt; ...</t>
  </si>
  <si>
    <t>Hierarchy of detection outputs do PEAK. No HMM4, o hunt bem-sucedido vira detecção automática.</t>
  </si>
  <si>
    <t>TH-11</t>
  </si>
  <si>
    <t>Lacunas de visibilidade encontradas viram demandas de telemetria tratadas até o fim.</t>
  </si>
  <si>
    <t>Hunt que revela ponto cego deve gerar correção de coleta, não só anotação.</t>
  </si>
  <si>
    <t>TH-12</t>
  </si>
  <si>
    <t>Os resultados e o valor do programa são comunicados aos stakeholders.</t>
  </si>
  <si>
    <t>Fase Act inclui comunicação; mesmo hunts sem achado geram insight de ambiente.</t>
  </si>
  <si>
    <t>MÉTRICAS · Medição do programa (HMM)</t>
  </si>
  <si>
    <t>TH-13</t>
  </si>
  <si>
    <t>Métricas do programa são acompanhadas (hunts executados, achados, detecções criadas, lacunas).</t>
  </si>
  <si>
    <t>PEAK enfatiza métricas; incidentes abertos não são a única medida de sucesso.</t>
  </si>
  <si>
    <t>TH-14</t>
  </si>
  <si>
    <t>A maturidade do programa é avaliada periodicamente contra o HMM, com plano de evolução.</t>
  </si>
  <si>
    <t>O HMM serve de roadmap: escolha o nível-alvo e planeje as melhorias para alcançá-lo.</t>
  </si>
  <si>
    <t>DETECTION ENGINEERING — Maturity Matrix (Kyle Bailey)</t>
  </si>
  <si>
    <t>Detection Engineering Maturity Matrix · 3 pilares (Detection-as-Code, IR Experience, Detection Logic &amp; Infrastructure) com subcategorias · escala 1–5.</t>
  </si>
  <si>
    <t>Pilar 1 · DETECTION-AS-CODE</t>
  </si>
  <si>
    <t>DE-01</t>
  </si>
  <si>
    <t>A lógica de detecção é versionada (version control para regras SIEM/EDR/Zeek/Suricata/YARA).</t>
  </si>
  <si>
    <t>Princípio central do pilar: tratar detecção como código. Versionamento responde "quando/por quem mudou?".</t>
  </si>
  <si>
    <t>DETECTION-AS-CODE</t>
  </si>
  <si>
    <t>DE-02</t>
  </si>
  <si>
    <t>Há revisão e aprovação (peer review) antes do deploy da detecção.</t>
  </si>
  <si>
    <t>No nível 5, review e approval estão embutidos no pipeline.</t>
  </si>
  <si>
    <t>INCIDENT RESPONSE EXPERIENCE</t>
  </si>
  <si>
    <t>DE-03</t>
  </si>
  <si>
    <t>Testes estático, dinâmico e contínuo estão embutidos no pipeline de deploy.</t>
  </si>
  <si>
    <t>Topo da matriz: "detection as code is engrained... static, dynamic and continuous testing baked into the pipeline".</t>
  </si>
  <si>
    <t>DETECTION LOGIC &amp; INFRASTRUCTURE</t>
  </si>
  <si>
    <t>DE-04</t>
  </si>
  <si>
    <t>Quase toda a lógica de detecção é testada continuamente de forma automatizada.</t>
  </si>
  <si>
    <t>Indicador de nível máximo do pilar Detection-as-Code.</t>
  </si>
  <si>
    <t>EQUIPE &amp; LIDERANÇA</t>
  </si>
  <si>
    <t>Pilar 2 · INCIDENT RESPONSE EXPERIENCE</t>
  </si>
  <si>
    <t>DE-05</t>
  </si>
  <si>
    <t>A detecção é desenhada considerando a experiência de quem responde (contexto, severidade, ação).</t>
  </si>
  <si>
    <t>Pilar IR Experience: a detecção existe para servir a resposta; alerta sem contexto gera fadiga.</t>
  </si>
  <si>
    <t>DE-06</t>
  </si>
  <si>
    <t>Cada detecção carrega metadados padronizados (técnica ATT&amp;CK, severidade, dono, resposta esperada).</t>
  </si>
  <si>
    <t>Metadados consistentes aceleram triagem e permitem gestão de cobertura.</t>
  </si>
  <si>
    <t>DE-07</t>
  </si>
  <si>
    <t>O feedback da resposta (FP/FN) retroalimenta o tuning, com registro das mudanças.</t>
  </si>
  <si>
    <t>O ciclo de qualidade liga detecção e resposta; tuning sem registro perde a memória.</t>
  </si>
  <si>
    <t>Pilar 3 · DETECTION LOGIC &amp; INFRASTRUCTURE</t>
  </si>
  <si>
    <t>DE-08</t>
  </si>
  <si>
    <t>A detecção define as fontes de log críticas e garante que estejam presentes no SIEM.</t>
  </si>
  <si>
    <t>Da matriz: "Detection defines critical log sources and ensures they are present in the SIEM".</t>
  </si>
  <si>
    <t>DE-09</t>
  </si>
  <si>
    <t>A saúde dos logs é monitorada e alertada (log health, erros de SIEM).</t>
  </si>
  <si>
    <t>Da matriz: "Log health is tracked and alerted on". Fonte que para vira ponto cego.</t>
  </si>
  <si>
    <t>DE-10</t>
  </si>
  <si>
    <t>A cobertura é mapeada e o KPI inclui cobertura ATT&amp;CK por ambiente (Win, Mac, Corp, Prod).</t>
  </si>
  <si>
    <t>Da matriz: "KPIs are well defined to include applicable MITRE ATT&amp;CK coverage per environment".</t>
  </si>
  <si>
    <t>DE-11</t>
  </si>
  <si>
    <t>As ameaças são emuladas (red/purple teaming ou emulação própria) para validar detecções.</t>
  </si>
  <si>
    <t>A matriz evolui de emulação pelos próprios engenheiros até red/purple teaming ativo.</t>
  </si>
  <si>
    <t>DE-12</t>
  </si>
  <si>
    <t>A detecção evolui de indicador para comportamento/TTP.</t>
  </si>
  <si>
    <t>Da matriz: "Detection is primarily indicator focused, few behavioral TTP detections exist" no nível baixo.</t>
  </si>
  <si>
    <t>DE-13</t>
  </si>
  <si>
    <t>Existe equipe dedicada com SMEs definidos para todos os domínios (host, rede, app, nuvem).</t>
  </si>
  <si>
    <t>A matriz evolui de tarefa part-time do IR até equipe dedicada com ownership de domínio.</t>
  </si>
  <si>
    <t>DE-14</t>
  </si>
  <si>
    <t>A liderança patrocina a detecção (ferramentas, licenciamento, staffing) em toda a org.</t>
  </si>
  <si>
    <t>Topo da matriz: liderança advoga envolvimento em detecção por toda a organização.</t>
  </si>
  <si>
    <t>DFIR — CREST CSIR Maturity Assessment (15 passos / 3 fases)</t>
  </si>
  <si>
    <t>CREST Cyber Security Incident Response Maturity Assessment · 15 passos nas fases Prepare, Respond e Follow Up · escala 1 (menos eficaz) a 5 (mais eficaz).</t>
  </si>
  <si>
    <t>Fase 1 · PREPARE</t>
  </si>
  <si>
    <t>IR-01</t>
  </si>
  <si>
    <t>Passo 1 — Conduzir uma avaliação de criticidade da organização.</t>
  </si>
  <si>
    <t>Criticality assessment: identificar ativos/serviços mais críticos a proteger. Base de todas as fases seguintes.</t>
  </si>
  <si>
    <t>IR-02</t>
  </si>
  <si>
    <t>Passo 2 — Realizar análise de ameaças, apoiada por cenários realistas e ensaios.</t>
  </si>
  <si>
    <t>Threat analysis com cenários e rehearsals; alimenta o planejamento da resposta.</t>
  </si>
  <si>
    <t>RESPOND</t>
  </si>
  <si>
    <t>IR-03</t>
  </si>
  <si>
    <t>Passo 3 — Considerar as implicações de pessoas, processo, tecnologia e informação.</t>
  </si>
  <si>
    <t>People/Process/Technology/Information: visão ampla da capacidade de resposta.</t>
  </si>
  <si>
    <t>FOLLOW UP</t>
  </si>
  <si>
    <t>IR-04</t>
  </si>
  <si>
    <t>Passo 4 — Criar um ambiente de controle apropriado.</t>
  </si>
  <si>
    <t>Control environment: controles e governança que sustentam a resposta.</t>
  </si>
  <si>
    <t>IR-05</t>
  </si>
  <si>
    <t>Passo 5 — Revisar o estado de prontidão da resposta a incidentes.</t>
  </si>
  <si>
    <t>Maturity/readiness review: avaliar se a capacidade está pronta antes do incidente.</t>
  </si>
  <si>
    <t>Fase 2 · RESPOND</t>
  </si>
  <si>
    <t>IR-06</t>
  </si>
  <si>
    <t>Passo 1 — Identificar o incidente de segurança.</t>
  </si>
  <si>
    <t>Identification: detecção e qualificação do incidente a partir de IoCs.</t>
  </si>
  <si>
    <t>IR-07</t>
  </si>
  <si>
    <t>Passo 2 — Definir objetivos e investigar a situação.</t>
  </si>
  <si>
    <t>Investigation: estabelecer objetivos da resposta e entender o escopo do comprometimento.</t>
  </si>
  <si>
    <t>IR-08</t>
  </si>
  <si>
    <t>Passo 3 — Tomar a ação apropriada (contenção/erradicação).</t>
  </si>
  <si>
    <t>Action: conter e erradicar conforme a natureza do incidente.</t>
  </si>
  <si>
    <t>IR-09</t>
  </si>
  <si>
    <t>Passo 4 — Recuperar sistemas, dados e conectividade.</t>
  </si>
  <si>
    <t>Recovery: retorno seguro à operação normal.</t>
  </si>
  <si>
    <t>Fase 3 · FOLLOW UP</t>
  </si>
  <si>
    <t>IR-10</t>
  </si>
  <si>
    <t>Passo 1 — Investigar o incidente mais a fundo.</t>
  </si>
  <si>
    <t>Incident investigation: análise aprofundada de causa raiz pós-contenção.</t>
  </si>
  <si>
    <t>IR-11</t>
  </si>
  <si>
    <t>Passo 2 — Reportar o incidente aos stakeholders relevantes.</t>
  </si>
  <si>
    <t>Reporting: comunicação a partes interessadas e obrigações de notificação.</t>
  </si>
  <si>
    <t>IR-12</t>
  </si>
  <si>
    <t>Passo 3 — Realizar revisão pós-incidente.</t>
  </si>
  <si>
    <t>Post incident review: o post-mortem estruturado.</t>
  </si>
  <si>
    <t>IR-13</t>
  </si>
  <si>
    <t>Passo 4 — Comunicar e capitalizar as lições aprendidas.</t>
  </si>
  <si>
    <t>Lessons learned: transformar o incidente em melhoria concreta.</t>
  </si>
  <si>
    <t>IR-14</t>
  </si>
  <si>
    <t>Passo 5 — Atualizar informações, controles e processos-chave.</t>
  </si>
  <si>
    <t>Updating: refletir o aprendizado em documentos, controles e processos vivos.</t>
  </si>
  <si>
    <t>IR-15</t>
  </si>
  <si>
    <t>Passo 6 — Realizar análise de tendências.</t>
  </si>
  <si>
    <t>Trend analysis: cruzar incidentes ao longo do tempo para revelar padrões sistêmicos.</t>
  </si>
  <si>
    <t>CSIRT — SIM3 v2 interim (45 parâmetros O/H/T/P)</t>
  </si>
  <si>
    <t>SIM3 v2 interim (Open CSIRT Foundation) · 4 quadrantes: Organisation (11), Human (7), Tools (10), Processes (17) · escala 0–4.</t>
  </si>
  <si>
    <t>O · ORGANISATION (mandato, setup e serviços)</t>
  </si>
  <si>
    <t>CS-01</t>
  </si>
  <si>
    <t>O-1 Mandate — a atribuição do CSIRT derivada de níveis de governança superiores.</t>
  </si>
  <si>
    <t>A justificativa da existência do time deve vir do mais alto nível de governança possível.</t>
  </si>
  <si>
    <t>O · ORGANISATION</t>
  </si>
  <si>
    <t>CS-02</t>
  </si>
  <si>
    <t>O-2 Constituency — para quem o CSIRT trabalha (a base de "clientes").</t>
  </si>
  <si>
    <t>Definir a constituency interna/externa atendida pelo time.</t>
  </si>
  <si>
    <t>H · HUMAN</t>
  </si>
  <si>
    <t>CS-03</t>
  </si>
  <si>
    <t>O-3 Authority — o que o time tem permissão de fazer perante sua constituency.</t>
  </si>
  <si>
    <t>Os poderes investidos no CSIRT; vital em crises. Deve vir da governança superior.</t>
  </si>
  <si>
    <t>T · TOOLS</t>
  </si>
  <si>
    <t>CS-04</t>
  </si>
  <si>
    <t>O-4 Responsibility — o que se espera que o time faça perante a constituency.</t>
  </si>
  <si>
    <t>Em geral a responsabilidade é maior que a autoridade; o gap não deve ser grande demais.</t>
  </si>
  <si>
    <t>P · PROCESSES</t>
  </si>
  <si>
    <t>CS-05</t>
  </si>
  <si>
    <t>O-5 Service Description — descreve o que é o serviço do CSIRT e como acioná-lo.</t>
  </si>
  <si>
    <t>Recomenda-se RFC2350 público (inclusive em inglês) com contatos e janelas de serviço.</t>
  </si>
  <si>
    <t>CS-06</t>
  </si>
  <si>
    <t>O-6 Public Media Policy — política de interação com imprensa e mídias públicas.</t>
  </si>
  <si>
    <t>Parâmetro novo na v2 interim. Como lidar com imprensa e redes, inclusive em crise.</t>
  </si>
  <si>
    <t>CS-07</t>
  </si>
  <si>
    <t>O-7 Service Level Description — nível de serviço esperado do CSIRT.</t>
  </si>
  <si>
    <t>Inclui velocidade de reação a relatos (mín.: reação humana a pares em 2 dias úteis).</t>
  </si>
  <si>
    <t>CS-08</t>
  </si>
  <si>
    <t>O-8 Incident Classification — esquema de classificação de incidentes.</t>
  </si>
  <si>
    <t>Taxonomia de tipo/severidade/prioridade usada de forma consistente.</t>
  </si>
  <si>
    <t>CS-09</t>
  </si>
  <si>
    <t>O-9 Participation Policy — política de participação em comunidades/fóruns.</t>
  </si>
  <si>
    <t>Como e onde o time coopera (FIRST, TF-CSIRT, setoriais).</t>
  </si>
  <si>
    <t>CS-10</t>
  </si>
  <si>
    <t>O-10 Organisational Framework — charter/estrutura organizacional do time.</t>
  </si>
  <si>
    <t>Framework ou "team handbook" que conecta os aspectos organizacionais.</t>
  </si>
  <si>
    <t>CS-11</t>
  </si>
  <si>
    <t>O-11 Security Policy — política de segurança que rege a operação do CSIRT.</t>
  </si>
  <si>
    <t>O próprio time é alvo de alto valor; precisa de política aplicável a si.</t>
  </si>
  <si>
    <t>H · HUMAN (pessoas)</t>
  </si>
  <si>
    <t>CS-12</t>
  </si>
  <si>
    <t>H-1 Code of Conduct/Practice/Ethics — código de conduta/prática/ética do time.</t>
  </si>
  <si>
    <t>Base da confiança; pode usar TI CCoP ou EthicsFIRST como baseline.</t>
  </si>
  <si>
    <t>CS-13</t>
  </si>
  <si>
    <t>H-2 Personal Resilience — resiliência pessoal dos membros.</t>
  </si>
  <si>
    <t>Capacidade de operar sob pressão sustentada sem colapso.</t>
  </si>
  <si>
    <t>CS-14</t>
  </si>
  <si>
    <t>H-3 Skillset Description — descrição do conjunto de competências por função.</t>
  </si>
  <si>
    <t>Mapa de skills que orienta contratação e treinamento (alinha à doc de roles/competencies do FIRST).</t>
  </si>
  <si>
    <t>CS-15</t>
  </si>
  <si>
    <t>H-4 Internal Training — treinamento interno.</t>
  </si>
  <si>
    <t>Capacitação conduzida dentro do time/organização.</t>
  </si>
  <si>
    <t>CS-16</t>
  </si>
  <si>
    <t>H-5 (External) Technical Training — treinamento técnico externo.</t>
  </si>
  <si>
    <t>Capacitação técnica formal de fontes externas.</t>
  </si>
  <si>
    <t>CS-17</t>
  </si>
  <si>
    <t>H-6 (External) Communication Training — treinamento externo de comunicação.</t>
  </si>
  <si>
    <t>Comunicação e coordenação sob pressão são competências centrais do CSIRT.</t>
  </si>
  <si>
    <t>CS-18</t>
  </si>
  <si>
    <t>H-7 External Networking — relacionamento externo dos membros (networking).</t>
  </si>
  <si>
    <t>Rede de contatos com pares que acelera a resposta em incidentes cross-org.</t>
  </si>
  <si>
    <t>T · TOOLS (ferramentas)</t>
  </si>
  <si>
    <t>CS-19</t>
  </si>
  <si>
    <t>T-1 IT Resources List — inventário de recursos de TI do próprio time.</t>
  </si>
  <si>
    <t>O time precisa conhecer e gerir o próprio arsenal.</t>
  </si>
  <si>
    <t>CS-20</t>
  </si>
  <si>
    <t>T-2 Information Sources List — lista de fontes de informação.</t>
  </si>
  <si>
    <t>Avisos de fornecedores, vulnerabilidades e inteligência organizados para consumo.</t>
  </si>
  <si>
    <t>CS-21</t>
  </si>
  <si>
    <t>T-3 Consolidated E-mail System — sistema de e-mail consolidado do time.</t>
  </si>
  <si>
    <t>Caixa de equipe consolidada para os contatos do CSIRT.</t>
  </si>
  <si>
    <t>CS-22</t>
  </si>
  <si>
    <t>T-4 Incident Tracking System — sistema de registro/acompanhamento de incidentes.</t>
  </si>
  <si>
    <t>Tracker único dá rastreabilidade, histórico e base para métricas.</t>
  </si>
  <si>
    <t>CS-23</t>
  </si>
  <si>
    <t>T-5 Resilient Phone — telefonia resiliente.</t>
  </si>
  <si>
    <t>Canal de voz que sobrevive a indisponibilidades.</t>
  </si>
  <si>
    <t>CS-24</t>
  </si>
  <si>
    <t>T-6 Resilient E-mail — e-mail resiliente.</t>
  </si>
  <si>
    <t>E-mail que se mantém em cenários de degradação/comprometimento.</t>
  </si>
  <si>
    <t>CS-25</t>
  </si>
  <si>
    <t>T-7 Resilient Internet Access — acesso à Internet resiliente.</t>
  </si>
  <si>
    <t>Conectividade alternativa para operar durante incidentes.</t>
  </si>
  <si>
    <t>CS-26</t>
  </si>
  <si>
    <t>T-8 Incident Prevention Toolset — ferramentas de prevenção de incidentes.</t>
  </si>
  <si>
    <t>Pilar de prevenção do SIM (prevenção/detecção/resolução/feedback).</t>
  </si>
  <si>
    <t>CS-27</t>
  </si>
  <si>
    <t>T-9 Incident Detection Toolset — ferramentas de detecção de incidentes.</t>
  </si>
  <si>
    <t>Capacidade técnica de detectar a atividade adversária.</t>
  </si>
  <si>
    <t>CS-28</t>
  </si>
  <si>
    <t>T-10 Incident Resolution Toolset — ferramentas de resolução de incidentes.</t>
  </si>
  <si>
    <t>Capacidade técnica de conter, erradicar e recuperar.</t>
  </si>
  <si>
    <t>P · PROCESSES (processos)</t>
  </si>
  <si>
    <t>CS-29</t>
  </si>
  <si>
    <t>P-1 Escalation to Governance Level — escalonamento ao nível de governança.</t>
  </si>
  <si>
    <t>Quando e como acionar a governança superior.</t>
  </si>
  <si>
    <t>CS-30</t>
  </si>
  <si>
    <t>P-2 Escalation to Press Function — escalonamento à função de imprensa.</t>
  </si>
  <si>
    <t>Acionamento da comunicação/imprensa em incidentes.</t>
  </si>
  <si>
    <t>CS-31</t>
  </si>
  <si>
    <t>P-3 Escalation to Legal Function — escalonamento à função jurídica.</t>
  </si>
  <si>
    <t>Acionamento do jurídico no ciclo do incidente.</t>
  </si>
  <si>
    <t>CS-32</t>
  </si>
  <si>
    <t>P-4 Incident Prevention Process — processo de prevenção de incidentes.</t>
  </si>
  <si>
    <t>Pilar de prevenção formalizado como processo.</t>
  </si>
  <si>
    <t>CS-33</t>
  </si>
  <si>
    <t>P-5 Incident Detection Process — processo de detecção de incidentes.</t>
  </si>
  <si>
    <t>Como o time detecta de forma repetível.</t>
  </si>
  <si>
    <t>CS-34</t>
  </si>
  <si>
    <t>P-6 Incident Resolution Process — processo (genérico) de resolução de incidentes.</t>
  </si>
  <si>
    <t>O processo comum que garante o fluxo de tratamento de todos os incidentes.</t>
  </si>
  <si>
    <t>CS-35</t>
  </si>
  <si>
    <t>P-7 Specific Incident Processes — processos para tipos específicos de incidente.</t>
  </si>
  <si>
    <t>Processos dedicados aos tipos que causam mais trabalho (ex.: ransomware, DDoS).</t>
  </si>
  <si>
    <t>CS-36</t>
  </si>
  <si>
    <t>P-8 Audit &amp; Feedback Process — processo de auditoria e feedback.</t>
  </si>
  <si>
    <t>Mecanismo de checagem/auditoria; essencial para parâmetros chegarem ao nível 4.</t>
  </si>
  <si>
    <t>CS-37</t>
  </si>
  <si>
    <t>P-9 Emergency Reachability Process — processo de alcançabilidade em emergência.</t>
  </si>
  <si>
    <t>Como o time é alcançado fora do horário/condições normais.</t>
  </si>
  <si>
    <t>CS-38</t>
  </si>
  <si>
    <t>P-10 Best Practice Internet Presence — presença na Internet conforme boas práticas.</t>
  </si>
  <si>
    <t>Presença pública segura e adequada do time.</t>
  </si>
  <si>
    <t>CS-39</t>
  </si>
  <si>
    <t>P-11 Secure Information Handling Process — manuseio seguro da informação.</t>
  </si>
  <si>
    <t>Classificação e tratamento seguro de dados sensíveis do incidente.</t>
  </si>
  <si>
    <t>CS-40</t>
  </si>
  <si>
    <t>P-12 Information Sources Process — processo das fontes de informação.</t>
  </si>
  <si>
    <t>Como as fontes (T-2) são processadas e usadas.</t>
  </si>
  <si>
    <t>CS-41</t>
  </si>
  <si>
    <t>P-13 Outreach Process — processo de outreach/divulgação.</t>
  </si>
  <si>
    <t>Comunicação proativa com constituency e comunidade.</t>
  </si>
  <si>
    <t>CS-42</t>
  </si>
  <si>
    <t>P-14 Governance/Reporting Process — processo de reporte à governança.</t>
  </si>
  <si>
    <t>Reporte estruturado aos níveis superiores.</t>
  </si>
  <si>
    <t>CS-43</t>
  </si>
  <si>
    <t>P-15 Constituency Reporting/Statistics Process — reporte/estatística à constituency.</t>
  </si>
  <si>
    <t>Relatórios e estatísticas para a base atendida.</t>
  </si>
  <si>
    <t>CS-44</t>
  </si>
  <si>
    <t>P-16 Meeting Process — processo de reuniões.</t>
  </si>
  <si>
    <t>Reuniões do time com pauta e registro.</t>
  </si>
  <si>
    <t>CS-45</t>
  </si>
  <si>
    <t>P-17 Peer-to-Peer / Collaboration Process — processo de colaboração com pares.</t>
  </si>
  <si>
    <t>Cooperação estruturada com outros times em incidentes cross-org.</t>
  </si>
  <si>
    <t>PSIRT — FIRST PSIRT Services Framework (6 áreas de serviço)</t>
  </si>
  <si>
    <t>FIRST PSIRT Services Framework v1.1 · 6 áreas de serviço · maturidade conforme o PSIRT Maturity Document (básico→intermediário→avançado), escala 0–3.</t>
  </si>
  <si>
    <t>Área 1 · Stakeholder Ecosystem Management</t>
  </si>
  <si>
    <t>PS-01</t>
  </si>
  <si>
    <t>1.1 Engajamento de stakeholders internos (engenharia, QA, release, suporte, jurídico).</t>
  </si>
  <si>
    <t>Stakeholders internos engajados fazem todos os processos do PSIRT fluírem melhor.</t>
  </si>
  <si>
    <t>Stakeholder Ecosystem Management</t>
  </si>
  <si>
    <t>PS-02</t>
  </si>
  <si>
    <t>1.2 Engajamento da comunidade e da organização (finders, pesquisadores).</t>
  </si>
  <si>
    <t>Engajamento direto com a comunidade de finders é marco de maturidade.</t>
  </si>
  <si>
    <t>Vulnerability Discovery</t>
  </si>
  <si>
    <t>PS-03</t>
  </si>
  <si>
    <t>1.3 Engajamento de upstream (componentes/projetos que você consome).</t>
  </si>
  <si>
    <t>Comunidade upstream ajuda em remediações complexas e supre expertise.</t>
  </si>
  <si>
    <t>Vulnerability Triage &amp; Analysis</t>
  </si>
  <si>
    <t>PS-04</t>
  </si>
  <si>
    <t>1.4 Gestão de stakeholders downstream (quem consome seu produto).</t>
  </si>
  <si>
    <t>Downstream precisa ser notificado de forma coordenada.</t>
  </si>
  <si>
    <t>Remediation</t>
  </si>
  <si>
    <t>Área 2 · Vulnerability Discovery</t>
  </si>
  <si>
    <t>Disclosure</t>
  </si>
  <si>
    <t>PS-05</t>
  </si>
  <si>
    <t>2.1 Recebimento de relatos de vulnerabilidade (ponto de contato, security.txt).</t>
  </si>
  <si>
    <t>Porta de entrada clara para relatos — base do nível básico.</t>
  </si>
  <si>
    <t>Training &amp; Education</t>
  </si>
  <si>
    <t>PS-06</t>
  </si>
  <si>
    <t>2.2 Processo para descobrir vulnerabilidades não reportadas.</t>
  </si>
  <si>
    <t>Discovery proativo além do que chega espontaneamente.</t>
  </si>
  <si>
    <t>PS-07</t>
  </si>
  <si>
    <t>2.3 Métricas de descoberta de vulnerabilidades (relatórios operacionais e de negócio).</t>
  </si>
  <si>
    <t>Operational e business reports da área de discovery.</t>
  </si>
  <si>
    <t>Área 3 · Vulnerability Triage &amp; Analysis</t>
  </si>
  <si>
    <t>PS-08</t>
  </si>
  <si>
    <t>3.1 Qualificação da vulnerabilidade (quality gate / bug bars).</t>
  </si>
  <si>
    <t>Critérios de qualificação e severidade aplicados de forma consistente.</t>
  </si>
  <si>
    <t>PS-09</t>
  </si>
  <si>
    <t>3.2 Capacidade interna de reprodução da vulnerabilidade.</t>
  </si>
  <si>
    <t>Reproduzir internamente acelera e dá confiança à correção.</t>
  </si>
  <si>
    <t>PS-10</t>
  </si>
  <si>
    <t>3.3 Melhoria contínua do processo de triagem.</t>
  </si>
  <si>
    <t>Continuous improvement da qualificação ao longo do tempo.</t>
  </si>
  <si>
    <t>Área 4 · Remediation</t>
  </si>
  <si>
    <t>PS-11</t>
  </si>
  <si>
    <t>4.1 Plano formal de gestão do remédio de segurança (security remedy management).</t>
  </si>
  <si>
    <t>Formalizar o plano de remediação com os times de produto.</t>
  </si>
  <si>
    <t>PS-12</t>
  </si>
  <si>
    <t>4.2 Coordenação da correção com engenharia e times de produto.</t>
  </si>
  <si>
    <t>PSIRT sem engenharia não remedia; o fluxo precisa de donos e janelas.</t>
  </si>
  <si>
    <t>Área 5 · Disclosure</t>
  </si>
  <si>
    <t>PS-13</t>
  </si>
  <si>
    <t>5.1 Sistema de notificação de stakeholders sobre a vulnerabilidade.</t>
  </si>
  <si>
    <t>Criar sistema para notificar stakeholders na divulgação.</t>
  </si>
  <si>
    <t>PS-14</t>
  </si>
  <si>
    <t>5.2 Advisories padronizados (versões afetadas, mitigação, identificadores).</t>
  </si>
  <si>
    <t>Comunicação clara reduz chamados e acelera correção; usar CVE quando aplicável.</t>
  </si>
  <si>
    <t>PS-15</t>
  </si>
  <si>
    <t>5.3 Divulgação coordenada (CVD) com pesquisadores e ecossistema.</t>
  </si>
  <si>
    <t>Coordenar timelines e formatos de divulgação.</t>
  </si>
  <si>
    <t>Área 6 · Training &amp; Education</t>
  </si>
  <si>
    <t>PS-16</t>
  </si>
  <si>
    <t>6.1 Treinamento dos membros do PSIRT.</t>
  </si>
  <si>
    <t>Capacitar a própria equipe do PSIRT.</t>
  </si>
  <si>
    <t>PS-17</t>
  </si>
  <si>
    <t>6.2 Mecanismos de feedback e integração ao ciclo de desenvolvimento (SDLC).</t>
  </si>
  <si>
    <t>No nível avançado o PSIRT se integra ao SDLC para prevenir recorrência.</t>
  </si>
  <si>
    <t>PS-18</t>
  </si>
  <si>
    <t>6.3 Participação em comunidades do ecossistema (ex.: FIRST e SIGs).</t>
  </si>
  <si>
    <t>Comunidade traz prática consolidada e coordenação multifornecedor.</t>
  </si>
  <si>
    <t>DECEPTION — MITRE Engage (Prepare · Expose · Affect · Elicit · Understand)</t>
  </si>
  <si>
    <t>MITRE Engage · 5 colunas da matriz (Prepare e Understand = estratégicas; Expose/Affect/Elicit = engajamento) + processo de 10 passos · escala adaptada 0–5.</t>
  </si>
  <si>
    <t>PREPARE · planejamento estratégico (passos 1–6)</t>
  </si>
  <si>
    <t>DC-01</t>
  </si>
  <si>
    <t>Os objetivos estratégicos do engajamento estão definidos (o que se quer Expor/Afetar/Elicitar).</t>
  </si>
  <si>
    <t>Goal Prepare do Engage: dirige toda a operação. Engajamento não é "fire and forget".</t>
  </si>
  <si>
    <t>DC-02</t>
  </si>
  <si>
    <t>Há análise de risco e aprovação para as operações de deception.</t>
  </si>
  <si>
    <t>Definir o que o adversário deve ver/pensar/fazer, com aval jurídico e da direção.</t>
  </si>
  <si>
    <t>EXPOSE</t>
  </si>
  <si>
    <t>DC-03</t>
  </si>
  <si>
    <t>O ambiente de engajamento e a persona/narrativa são preparados de forma realista.</t>
  </si>
  <si>
    <t>Artefatos consistentes com o ambiente real; decoy identificável perde valor.</t>
  </si>
  <si>
    <t>AFFECT</t>
  </si>
  <si>
    <t>EXPOSE · expor o adversário</t>
  </si>
  <si>
    <t>ELICIT</t>
  </si>
  <si>
    <t>DC-04</t>
  </si>
  <si>
    <t>Artefatos de deception geram alertas de alta fidelidade quando tocados (decoys, honeytokens).</t>
  </si>
  <si>
    <t>Goal Expose: deception fornece alertas de altíssima fidelidade quando o adversário age.</t>
  </si>
  <si>
    <t>UNDERSTAND</t>
  </si>
  <si>
    <t>DC-05</t>
  </si>
  <si>
    <t>Os artefatos cobrem múltiplas camadas e os caminhos de ataque relevantes (AD, ERP, backups).</t>
  </si>
  <si>
    <t>Posicionar iscas onde o adversário provável vai passar.</t>
  </si>
  <si>
    <t>AFFECT · afetar o adversário</t>
  </si>
  <si>
    <t>DC-06</t>
  </si>
  <si>
    <t>Atividades de Affect alteram a relação custo-valor do adversário (aumentar custo, reduzir valor).</t>
  </si>
  <si>
    <t>Goal Affect: impacto negativo nas operações do adversário.</t>
  </si>
  <si>
    <t>DC-07</t>
  </si>
  <si>
    <t>Há controle para direcionar o adversário para longe de sistemas vulneráveis (ex.: legados).</t>
  </si>
  <si>
    <t>Exemplo do Engage: usar decoys para desviar de sistemas que não podem ser corrigidos.</t>
  </si>
  <si>
    <t>ELICIT · elicitar informação</t>
  </si>
  <si>
    <t>DC-08</t>
  </si>
  <si>
    <t>Atividades de Elicit observam o adversário para aprender TTPs (gerar CTI própria).</t>
  </si>
  <si>
    <t>Goal Elicit: gerar feed de CTI dirigido pelos TTPs do adversário, não pelo "CVE do dia".</t>
  </si>
  <si>
    <t>DC-09</t>
  </si>
  <si>
    <t>A telemetria do adversário é capturada e analisada de forma estruturada.</t>
  </si>
  <si>
    <t>O grande subproduto é inteligência de primeira mão sobre quem ataca o ambiente.</t>
  </si>
  <si>
    <t>UNDERSTAND · análise estratégica (passos 8–10)</t>
  </si>
  <si>
    <t>DC-10</t>
  </si>
  <si>
    <t>Os resultados das operações são analisados (output) e alimentam a estratégia.</t>
  </si>
  <si>
    <t>Goal Understand: fechar o ciclo entendendo os resultados das ações operacionais.</t>
  </si>
  <si>
    <t>DC-11</t>
  </si>
  <si>
    <t>Alertas de deception chegam ao SOC como eventos prioritários com playbook próprio.</t>
  </si>
  <si>
    <t>Toque em decoy deve furar a fila; decidir antes se a postura é observar ou conter.</t>
  </si>
  <si>
    <t>DC-12</t>
  </si>
  <si>
    <t>O aprendizado vira detecções, regras e inteligência para o restante da defesa.</t>
  </si>
  <si>
    <t>O que a isca ensinou deve proteger o ambiente real.</t>
  </si>
  <si>
    <t>GESTÃO DE VULNERABILIDADES — SANS VMMM (ciclo PIACT)</t>
  </si>
  <si>
    <t>SANS Vulnerability Management Maturity Model · 5 domínios PIACT (Prepare/Identify/Analyze/Communicate/Treat) com subáreas · níveis 1 Initial → 5 Optimizing.</t>
  </si>
  <si>
    <t>VM-01</t>
  </si>
  <si>
    <t>Política e padrões de VM definidos, alinhados a frameworks reconhecidos.</t>
  </si>
  <si>
    <t>Subárea Policy: do nível 1 (sem política) ao 5 (alinhada a frameworks e automatizada por controles).</t>
  </si>
  <si>
    <t>VM-02</t>
  </si>
  <si>
    <t>Contexto de negócio e papéis/responsabilidades acordados entre segurança e donos de ativos.</t>
  </si>
  <si>
    <t>Quem encontra não é quem corrige; o fluxo entre as partes precisa estar pactuado.</t>
  </si>
  <si>
    <t>IDENTIFY</t>
  </si>
  <si>
    <t>VM-03</t>
  </si>
  <si>
    <t>Inventário de ativos com criticidade e exposição sustenta a priorização.</t>
  </si>
  <si>
    <t>Sem contexto de ativo não há priorização real por risco.</t>
  </si>
  <si>
    <t>ANALYZE</t>
  </si>
  <si>
    <t>COMMUNICATE</t>
  </si>
  <si>
    <t>VM-04</t>
  </si>
  <si>
    <t>Identificação automatizada (scanning de infra e aplicações) definida e seguida.</t>
  </si>
  <si>
    <t>Categoria automated do Identify: do scan ad-hoc ao processo definido e seguido por área.</t>
  </si>
  <si>
    <t>TREAT</t>
  </si>
  <si>
    <t>VM-05</t>
  </si>
  <si>
    <t>Identificação manual complementa a automatizada onde necessário.</t>
  </si>
  <si>
    <t>Categoria manual do Identify.</t>
  </si>
  <si>
    <t>VM-06</t>
  </si>
  <si>
    <t>Identificação externa (pentest, bug bounty, pesquisa) com metas e campanhas.</t>
  </si>
  <si>
    <t>Categoria external: do esporádico a um programa maduro com goals e campanhas.</t>
  </si>
  <si>
    <t>VM-07</t>
  </si>
  <si>
    <t>Priorização combina severidade, exploração ativa, exposição e criticidade do ativo.</t>
  </si>
  <si>
    <t>Usar KEV/EPSS + contexto; CVSS isolado gera fila infinita.</t>
  </si>
  <si>
    <t>VM-08</t>
  </si>
  <si>
    <t>Achados são validados e deduplicados antes do encaminhamento.</t>
  </si>
  <si>
    <t>Falsos positivos encaminhados minam a credibilidade do programa.</t>
  </si>
  <si>
    <t>VM-09</t>
  </si>
  <si>
    <t>Análise identifica causas recorrentes (padrões por tecnologia/time/processo).</t>
  </si>
  <si>
    <t>Tratar a causa raiz reduz o fluxo de novos achados.</t>
  </si>
  <si>
    <t>VM-10</t>
  </si>
  <si>
    <t>Métricas e relatórios adequados a cada público (do operacional ao executivo).</t>
  </si>
  <si>
    <t>Subárea metrics &amp; reporting: do ponto-no-tempo bruto ao correlacionado com política/compliance.</t>
  </si>
  <si>
    <t>VM-11</t>
  </si>
  <si>
    <t>Alerting definido para achados que exigem ação imediata.</t>
  </si>
  <si>
    <t>Subárea alerting: do inexistente ao alerta automatizado e direcionado.</t>
  </si>
  <si>
    <t>VM-12</t>
  </si>
  <si>
    <t>Os achados chegam aos donos certos com clareza da ação esperada.</t>
  </si>
  <si>
    <t>Encaminhamento sem dono e sem ação clara não vira correção.</t>
  </si>
  <si>
    <t>VM-13</t>
  </si>
  <si>
    <t>Fluxo de remediação/mitigação gerido até a conclusão, com reteste.</t>
  </si>
  <si>
    <t>O reteste confirma que a correção fechou a exposição.</t>
  </si>
  <si>
    <t>VM-14</t>
  </si>
  <si>
    <t>Exceções com aceite de risco formal e validade definida.</t>
  </si>
  <si>
    <t>Exceção sem prazo de revisão é risco permanente disfarçado.</t>
  </si>
  <si>
    <t>VM-15</t>
  </si>
  <si>
    <t>Desempenho do tratamento medido e usado para melhorar o programa.</t>
  </si>
  <si>
    <t>Tendência de envelhecimento dos achados revela a saúde do ciclo.</t>
  </si>
  <si>
    <t>AUTOMAÇÃO &amp; ORQUESTRAÇÃO (SOAR)</t>
  </si>
  <si>
    <t>Adaptado do aspecto Automation &amp; Orchestration do SOC-CMM (domínio Technology) e da dimensão de disseminação do INFORM (MITRE CTID) · escala 0–5.</t>
  </si>
  <si>
    <t>Estratégia &amp; casos de uso</t>
  </si>
  <si>
    <t>AU-01</t>
  </si>
  <si>
    <t>Casos de uso de automação priorizados por ganho e esforço, em backlog vivo.</t>
  </si>
  <si>
    <t>Automatize primeiro o repetitivo e frequente.</t>
  </si>
  <si>
    <t>AU-02</t>
  </si>
  <si>
    <t>Processos padronizados antes de serem automatizados.</t>
  </si>
  <si>
    <t>Automatizar caos só acelera o caos.</t>
  </si>
  <si>
    <t>Implementação &amp; integrações</t>
  </si>
  <si>
    <t>AU-03</t>
  </si>
  <si>
    <t>Responsável definido pela plataforma e pelo ciclo de vida das automações.</t>
  </si>
  <si>
    <t>Automação órfã quebra silenciosamente e mina a confiança.</t>
  </si>
  <si>
    <t>Operação &amp; medição</t>
  </si>
  <si>
    <t>AU-04</t>
  </si>
  <si>
    <t>Plataforma central (SOAR/middleware, ex.: n8n, Shuffle) integra o ecossistema.</t>
  </si>
  <si>
    <t>Integração ponto a ponto não escala; centralize o barramento.</t>
  </si>
  <si>
    <t>AU-05</t>
  </si>
  <si>
    <t>Playbooks tratam erros e incluem aprovação humana em ações sensíveis.</t>
  </si>
  <si>
    <t>Falha silenciosa e ação destrutiva sem aprovação são os dois grandes riscos.</t>
  </si>
  <si>
    <t>AU-06</t>
  </si>
  <si>
    <t>Automações versionadas, documentadas e testadas antes da produção.</t>
  </si>
  <si>
    <t>Trate playbooks como código: review, versionamento, rollback.</t>
  </si>
  <si>
    <t>AU-07</t>
  </si>
  <si>
    <t>Execução monitorada (sucesso, falha, fila, latência).</t>
  </si>
  <si>
    <t>É preciso saber imediatamente quando a automação parou.</t>
  </si>
  <si>
    <t>AU-08</t>
  </si>
  <si>
    <t>Ganho medido (tempo poupado, consistência, volume absorvido).</t>
  </si>
  <si>
    <t>Medir o retorno orienta a próxima onda.</t>
  </si>
  <si>
    <t>AU-09</t>
  </si>
  <si>
    <t>Ciclo de melhoria e expansão contínua do portfólio.</t>
  </si>
  <si>
    <t>Revisões aposentam o obsoleto e ampliam o que funciona.</t>
  </si>
  <si>
    <t>DASH — Maturidade dos Domínios do SOC (versão completa)</t>
  </si>
  <si>
    <t>Consolidação automática · escalas normalizadas em % · radar por domínio e detalhe por categoria</t>
  </si>
  <si>
    <t>MATURIDADE GERAL
(média das categorias)</t>
  </si>
  <si>
    <t>Resultado por categoria</t>
  </si>
  <si>
    <t>Categoria</t>
  </si>
  <si>
    <t>Nível atual</t>
  </si>
  <si>
    <t>Maturidade atual</t>
  </si>
  <si>
    <t>Maturidade meta</t>
  </si>
  <si>
    <t>▍ CTI</t>
  </si>
  <si>
    <t xml:space="preserve">    PROGRAM</t>
  </si>
  <si>
    <t xml:space="preserve">    ASSET</t>
  </si>
  <si>
    <t xml:space="preserve">    THREAT</t>
  </si>
  <si>
    <t xml:space="preserve">    RISK</t>
  </si>
  <si>
    <t xml:space="preserve">    SITUATION</t>
  </si>
  <si>
    <t xml:space="preserve">    RESPONSE</t>
  </si>
  <si>
    <t xml:space="preserve">    ACCESS</t>
  </si>
  <si>
    <t xml:space="preserve">    WORKFORCE</t>
  </si>
  <si>
    <t xml:space="preserve">    ARCHITECTURE</t>
  </si>
  <si>
    <t xml:space="preserve">    THIRD-PARTIES</t>
  </si>
  <si>
    <t xml:space="preserve">    FRAUD</t>
  </si>
  <si>
    <t>▍ Threat Hunting</t>
  </si>
  <si>
    <t xml:space="preserve">    PREPARE</t>
  </si>
  <si>
    <t xml:space="preserve">    EXECUTE</t>
  </si>
  <si>
    <t xml:space="preserve">    ACT · Documentação,</t>
  </si>
  <si>
    <t xml:space="preserve">    MÉTRICAS</t>
  </si>
  <si>
    <t>▍ Detection Engineering</t>
  </si>
  <si>
    <t xml:space="preserve">    DETECTION-AS-CODE</t>
  </si>
  <si>
    <t xml:space="preserve">    INCIDENT RESPONSE EXPERIENCE</t>
  </si>
  <si>
    <t xml:space="preserve">    DETECTION LOGIC &amp; INFRASTRUCTURE</t>
  </si>
  <si>
    <t xml:space="preserve">    EQUIPE &amp; LIDERANÇA</t>
  </si>
  <si>
    <t>▍ DFIR / Resposta a Incidentes</t>
  </si>
  <si>
    <t xml:space="preserve">    RESPOND</t>
  </si>
  <si>
    <t xml:space="preserve">    FOLLOW UP</t>
  </si>
  <si>
    <t>▍ CSIRT</t>
  </si>
  <si>
    <t xml:space="preserve">    O · ORGANISATION</t>
  </si>
  <si>
    <t xml:space="preserve">    H · HUMAN</t>
  </si>
  <si>
    <t xml:space="preserve">    T · TOOLS</t>
  </si>
  <si>
    <t xml:space="preserve">    P · PROCESSES</t>
  </si>
  <si>
    <t>▍ PSIRT</t>
  </si>
  <si>
    <t xml:space="preserve">    Stakeholder Ecosystem Management</t>
  </si>
  <si>
    <t xml:space="preserve">    Vulnerability Discovery</t>
  </si>
  <si>
    <t xml:space="preserve">    Vulnerability Triage &amp; Analysis</t>
  </si>
  <si>
    <t xml:space="preserve">    Remediation</t>
  </si>
  <si>
    <t xml:space="preserve">    Disclosure</t>
  </si>
  <si>
    <t xml:space="preserve">    Training &amp; Education</t>
  </si>
  <si>
    <t>▍ Deception</t>
  </si>
  <si>
    <t>0–5</t>
  </si>
  <si>
    <t xml:space="preserve">    EXPOSE</t>
  </si>
  <si>
    <t xml:space="preserve">    AFFECT</t>
  </si>
  <si>
    <t xml:space="preserve">    ELICIT</t>
  </si>
  <si>
    <t xml:space="preserve">    UNDERSTAND</t>
  </si>
  <si>
    <t>▍ Gestão de Vulnerabilidades</t>
  </si>
  <si>
    <t xml:space="preserve">    IDENTIFY</t>
  </si>
  <si>
    <t xml:space="preserve">    ANALYZE</t>
  </si>
  <si>
    <t xml:space="preserve">    COMMUNICATE</t>
  </si>
  <si>
    <t xml:space="preserve">    TREAT</t>
  </si>
  <si>
    <t>▍ Automação &amp; SOAR</t>
  </si>
  <si>
    <t xml:space="preserve">    Estratégia &amp; casos de uso</t>
  </si>
  <si>
    <t xml:space="preserve">    Implementação &amp; integrações</t>
  </si>
  <si>
    <t xml:space="preserve">    Operação &amp; medição</t>
  </si>
  <si>
    <t>GERAL</t>
  </si>
  <si>
    <t>Resumo por domínio (fonte do radar)</t>
  </si>
  <si>
    <t>Domínio</t>
  </si>
  <si>
    <t>Detection Engineering</t>
  </si>
  <si>
    <t>DFIR / Resposta a Incidentes</t>
  </si>
  <si>
    <t>Gestão de Vulnerabilidades</t>
  </si>
  <si>
    <t>Automação &amp; SOAR</t>
  </si>
  <si>
    <t>Faixas de classificação (maturidade geral)</t>
  </si>
  <si>
    <t>0–9%</t>
  </si>
  <si>
    <t>10–29%</t>
  </si>
  <si>
    <t>30–49%</t>
  </si>
  <si>
    <t>Em desenvolvimento</t>
  </si>
  <si>
    <t>50–69%</t>
  </si>
  <si>
    <t>70–89%</t>
  </si>
  <si>
    <t>90–100%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</si>
</sst>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14375A"/>
      <name val="Arial"/>
      <charset val="1"/>
    </font>
    <font>
      <b/>
      <sz val="11"/>
      <color rgb="FFFFFFFF"/>
      <name val="Arial"/>
      <charset val="1"/>
    </font>
    <font>
      <sz val="9"/>
      <color rgb="FF5B6B7A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10"/>
      <color rgb="FF14375A"/>
      <name val="Arial"/>
      <charset val="1"/>
    </font>
    <font>
      <b/>
      <sz val="9"/>
      <color rgb="FFE07A1F"/>
      <name val="Arial"/>
      <charset val="1"/>
    </font>
    <font>
      <b/>
      <sz val="9"/>
      <color rgb="FF14375A"/>
      <name val="Arial"/>
      <charset val="1"/>
    </font>
    <font>
      <i/>
      <sz val="8"/>
      <color rgb="FF5B6B7A"/>
      <name val="Arial"/>
      <charset val="1"/>
    </font>
    <font>
      <b/>
      <sz val="10"/>
      <color rgb="FFFFFFFF"/>
      <name val="Arial"/>
      <charset val="1"/>
    </font>
    <font>
      <b/>
      <sz val="8"/>
      <color rgb="FFFFFFFF"/>
      <name val="Arial"/>
      <charset val="1"/>
    </font>
    <font>
      <sz val="8"/>
      <color rgb="FF5B6B7A"/>
      <name val="Arial"/>
      <charset val="1"/>
    </font>
    <font>
      <sz val="8"/>
      <name val="Arial"/>
      <charset val="1"/>
    </font>
    <font>
      <b/>
      <sz val="26"/>
      <color rgb="FFE07A1F"/>
      <name val="Arial"/>
      <charset val="1"/>
    </font>
    <font>
      <b/>
      <sz val="12"/>
      <color rgb="FF14375A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4375A"/>
        <bgColor rgb="FF333333"/>
      </patternFill>
    </fill>
    <fill>
      <patternFill patternType="solid">
        <fgColor rgb="FFDCE9F5"/>
        <bgColor rgb="FFD9EAD3"/>
      </patternFill>
    </fill>
    <fill>
      <patternFill patternType="solid">
        <fgColor rgb="FFE07A1F"/>
        <bgColor rgb="FFFF9900"/>
      </patternFill>
    </fill>
    <fill>
      <patternFill patternType="solid">
        <fgColor rgb="FFF5F8FB"/>
        <bgColor rgb="FFFFFFFF"/>
      </patternFill>
    </fill>
    <fill>
      <patternFill patternType="solid">
        <fgColor rgb="FF2E75B6"/>
        <bgColor rgb="FF0066CC"/>
      </patternFill>
    </fill>
  </fills>
  <borders count="3">
    <border>
      <left/>
      <right/>
      <top/>
      <bottom/>
      <diagonal/>
    </border>
    <border>
      <left style="thin">
        <color rgb="FFC9D4DE"/>
      </left>
      <right style="thin">
        <color rgb="FFC9D4DE"/>
      </right>
      <top style="thin">
        <color rgb="FFC9D4DE"/>
      </top>
      <bottom style="thin">
        <color rgb="FFC9D4DE"/>
      </bottom>
      <diagonal/>
    </border>
    <border>
      <left style="thin">
        <color rgb="FFC9D4DE"/>
      </left>
      <right/>
      <top style="thin">
        <color rgb="FFC9D4DE"/>
      </top>
      <bottom style="thin">
        <color rgb="FFC9D4DE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1" fillId="2" borderId="1" xfId="0" applyFont="1" applyFill="1" applyBorder="1" applyAlignment="1">
      <alignment horizontal="left" vertical="center" indent="1"/>
    </xf>
    <xf numFmtId="0" fontId="16" fillId="0" borderId="0" xfId="0" applyFont="1" applyAlignment="1">
      <alignment horizontal="left" vertical="center" wrapText="1"/>
    </xf>
    <xf numFmtId="9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11" fillId="6" borderId="0" xfId="0" applyFont="1" applyFill="1" applyAlignment="1">
      <alignment horizontal="left" vertical="center" indent="1"/>
    </xf>
    <xf numFmtId="0" fontId="5" fillId="4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top" wrapText="1"/>
    </xf>
    <xf numFmtId="0" fontId="3" fillId="4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9" fontId="14" fillId="0" borderId="1" xfId="0" applyNumberFormat="1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9" fontId="6" fillId="5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9" fontId="5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9" fontId="0" fillId="0" borderId="1" xfId="0" applyNumberFormat="1" applyBorder="1" applyAlignment="1">
      <alignment horizontal="center" vertical="center"/>
    </xf>
    <xf numFmtId="0" fontId="9" fillId="0" borderId="0" xfId="0" applyFont="1"/>
    <xf numFmtId="0" fontId="13" fillId="0" borderId="0" xfId="0" applyFont="1"/>
  </cellXfs>
  <cellStyles count="1">
    <cellStyle name="Normal" xfId="0" builtinId="0"/>
  </cellStyles>
  <dxfs count="18">
    <dxf>
      <fill>
        <patternFill>
          <bgColor rgb="FFD9EAD3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CE5C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5F8FB"/>
      <rgbColor rgb="FFDCE9F5"/>
      <rgbColor rgb="FF660066"/>
      <rgbColor rgb="FFFF8080"/>
      <rgbColor rgb="FF0066CC"/>
      <rgbColor rgb="FFC9D4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5CD"/>
      <rgbColor rgb="FF2E75B6"/>
      <rgbColor rgb="FF33CCCC"/>
      <rgbColor rgb="FF99CC00"/>
      <rgbColor rgb="FFFFCC00"/>
      <rgbColor rgb="FFFF9900"/>
      <rgbColor rgb="FFE07A1F"/>
      <rgbColor rgb="FF5B6B7A"/>
      <rgbColor rgb="FF969696"/>
      <rgbColor rgb="FF14375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CTI — atual × meta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CTI!$L$5</c:f>
              <c:strCache>
                <c:ptCount val="1"/>
                <c:pt idx="0">
                  <c:v>Atual</c:v>
                </c:pt>
              </c:strCache>
            </c:strRef>
          </c:tx>
          <c:spPr>
            <a:ln w="21960">
              <a:solidFill>
                <a:srgbClr val="E07A1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CTI!$K$6:$K$16</c:f>
              <c:strCache>
                <c:ptCount val="11"/>
                <c:pt idx="0">
                  <c:v>PROGRAM</c:v>
                </c:pt>
                <c:pt idx="1">
                  <c:v>ASSET</c:v>
                </c:pt>
                <c:pt idx="2">
                  <c:v>THREAT</c:v>
                </c:pt>
                <c:pt idx="3">
                  <c:v>RISK</c:v>
                </c:pt>
                <c:pt idx="4">
                  <c:v>SITUATION</c:v>
                </c:pt>
                <c:pt idx="5">
                  <c:v>RESPONSE</c:v>
                </c:pt>
                <c:pt idx="6">
                  <c:v>ACCESS</c:v>
                </c:pt>
                <c:pt idx="7">
                  <c:v>WORKFORCE</c:v>
                </c:pt>
                <c:pt idx="8">
                  <c:v>ARCHITECTURE</c:v>
                </c:pt>
                <c:pt idx="9">
                  <c:v>THIRD-PARTIES</c:v>
                </c:pt>
                <c:pt idx="10">
                  <c:v>FRAUD</c:v>
                </c:pt>
              </c:strCache>
            </c:strRef>
          </c:cat>
          <c:val>
            <c:numRef>
              <c:f>CTI!$L$6:$L$16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5-40B6-A40B-1D9C0235AFEA}"/>
            </c:ext>
          </c:extLst>
        </c:ser>
        <c:ser>
          <c:idx val="1"/>
          <c:order val="1"/>
          <c:tx>
            <c:strRef>
              <c:f>CTI!$M$5</c:f>
              <c:strCache>
                <c:ptCount val="1"/>
                <c:pt idx="0">
                  <c:v>Meta</c:v>
                </c:pt>
              </c:strCache>
            </c:strRef>
          </c:tx>
          <c:spPr>
            <a:ln w="28440">
              <a:solidFill>
                <a:srgbClr val="2E75B6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CTI!$K$6:$K$16</c:f>
              <c:strCache>
                <c:ptCount val="11"/>
                <c:pt idx="0">
                  <c:v>PROGRAM</c:v>
                </c:pt>
                <c:pt idx="1">
                  <c:v>ASSET</c:v>
                </c:pt>
                <c:pt idx="2">
                  <c:v>THREAT</c:v>
                </c:pt>
                <c:pt idx="3">
                  <c:v>RISK</c:v>
                </c:pt>
                <c:pt idx="4">
                  <c:v>SITUATION</c:v>
                </c:pt>
                <c:pt idx="5">
                  <c:v>RESPONSE</c:v>
                </c:pt>
                <c:pt idx="6">
                  <c:v>ACCESS</c:v>
                </c:pt>
                <c:pt idx="7">
                  <c:v>WORKFORCE</c:v>
                </c:pt>
                <c:pt idx="8">
                  <c:v>ARCHITECTURE</c:v>
                </c:pt>
                <c:pt idx="9">
                  <c:v>THIRD-PARTIES</c:v>
                </c:pt>
                <c:pt idx="10">
                  <c:v>FRAUD</c:v>
                </c:pt>
              </c:strCache>
            </c:strRef>
          </c:cat>
          <c:val>
            <c:numRef>
              <c:f>CTI!$M$6:$M$16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55-40B6-A40B-1D9C0235A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07667"/>
        <c:axId val="68405333"/>
      </c:radarChart>
      <c:catAx>
        <c:axId val="4130766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8405333"/>
        <c:crosses val="autoZero"/>
        <c:auto val="1"/>
        <c:lblAlgn val="ctr"/>
        <c:lblOffset val="100"/>
        <c:noMultiLvlLbl val="0"/>
      </c:catAx>
      <c:valAx>
        <c:axId val="68405333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130766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Threat Hunting — atual × meta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'Threat Hunting'!$L$5</c:f>
              <c:strCache>
                <c:ptCount val="1"/>
                <c:pt idx="0">
                  <c:v>Atual</c:v>
                </c:pt>
              </c:strCache>
            </c:strRef>
          </c:tx>
          <c:spPr>
            <a:ln w="21960">
              <a:solidFill>
                <a:srgbClr val="E07A1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'Threat Hunting'!$K$6:$K$9</c:f>
              <c:strCache>
                <c:ptCount val="4"/>
                <c:pt idx="0">
                  <c:v>PREPARE</c:v>
                </c:pt>
                <c:pt idx="1">
                  <c:v>EXECUTE</c:v>
                </c:pt>
                <c:pt idx="2">
                  <c:v>ACT · Documentação,</c:v>
                </c:pt>
                <c:pt idx="3">
                  <c:v>MÉTRICAS</c:v>
                </c:pt>
              </c:strCache>
            </c:strRef>
          </c:cat>
          <c:val>
            <c:numRef>
              <c:f>'Threat Hunting'!$L$6:$L$9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8-4A42-BC87-C5EDE6F4228D}"/>
            </c:ext>
          </c:extLst>
        </c:ser>
        <c:ser>
          <c:idx val="1"/>
          <c:order val="1"/>
          <c:tx>
            <c:strRef>
              <c:f>'Threat Hunting'!$M$5</c:f>
              <c:strCache>
                <c:ptCount val="1"/>
                <c:pt idx="0">
                  <c:v>Meta</c:v>
                </c:pt>
              </c:strCache>
            </c:strRef>
          </c:tx>
          <c:spPr>
            <a:ln w="28440">
              <a:solidFill>
                <a:srgbClr val="2E75B6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'Threat Hunting'!$K$6:$K$9</c:f>
              <c:strCache>
                <c:ptCount val="4"/>
                <c:pt idx="0">
                  <c:v>PREPARE</c:v>
                </c:pt>
                <c:pt idx="1">
                  <c:v>EXECUTE</c:v>
                </c:pt>
                <c:pt idx="2">
                  <c:v>ACT · Documentação,</c:v>
                </c:pt>
                <c:pt idx="3">
                  <c:v>MÉTRICAS</c:v>
                </c:pt>
              </c:strCache>
            </c:strRef>
          </c:cat>
          <c:val>
            <c:numRef>
              <c:f>'Threat Hunting'!$M$6:$M$9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18-4A42-BC87-C5EDE6F42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59533"/>
        <c:axId val="68589291"/>
      </c:radarChart>
      <c:catAx>
        <c:axId val="7575953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8589291"/>
        <c:crosses val="autoZero"/>
        <c:auto val="1"/>
        <c:lblAlgn val="ctr"/>
        <c:lblOffset val="100"/>
        <c:noMultiLvlLbl val="0"/>
      </c:catAx>
      <c:valAx>
        <c:axId val="6858929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575953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Detection Engineering — atual × meta</a:t>
            </a:r>
          </a:p>
        </c:rich>
      </c:tx>
      <c:layout>
        <c:manualLayout>
          <c:xMode val="edge"/>
          <c:yMode val="edge"/>
          <c:x val="0.17591305675399066"/>
          <c:y val="4.009180075322076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'Detection Eng'!$L$5</c:f>
              <c:strCache>
                <c:ptCount val="1"/>
                <c:pt idx="0">
                  <c:v>Atual</c:v>
                </c:pt>
              </c:strCache>
            </c:strRef>
          </c:tx>
          <c:spPr>
            <a:ln w="21960">
              <a:solidFill>
                <a:srgbClr val="E07A1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'Detection Eng'!$K$6:$K$9</c:f>
              <c:strCache>
                <c:ptCount val="4"/>
                <c:pt idx="0">
                  <c:v>DETECTION-AS-CODE</c:v>
                </c:pt>
                <c:pt idx="1">
                  <c:v>INCIDENT RESPONSE EXPERIENCE</c:v>
                </c:pt>
                <c:pt idx="2">
                  <c:v>DETECTION LOGIC &amp; INFRASTRUCTURE</c:v>
                </c:pt>
                <c:pt idx="3">
                  <c:v>EQUIPE &amp; LIDERANÇA</c:v>
                </c:pt>
              </c:strCache>
            </c:strRef>
          </c:cat>
          <c:val>
            <c:numRef>
              <c:f>'Detection Eng'!$L$6:$L$9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1-41FD-8EBE-AE3179B8B6A0}"/>
            </c:ext>
          </c:extLst>
        </c:ser>
        <c:ser>
          <c:idx val="1"/>
          <c:order val="1"/>
          <c:tx>
            <c:strRef>
              <c:f>'Detection Eng'!$M$5</c:f>
              <c:strCache>
                <c:ptCount val="1"/>
                <c:pt idx="0">
                  <c:v>Meta</c:v>
                </c:pt>
              </c:strCache>
            </c:strRef>
          </c:tx>
          <c:spPr>
            <a:ln w="28440">
              <a:solidFill>
                <a:srgbClr val="2E75B6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'Detection Eng'!$K$6:$K$9</c:f>
              <c:strCache>
                <c:ptCount val="4"/>
                <c:pt idx="0">
                  <c:v>DETECTION-AS-CODE</c:v>
                </c:pt>
                <c:pt idx="1">
                  <c:v>INCIDENT RESPONSE EXPERIENCE</c:v>
                </c:pt>
                <c:pt idx="2">
                  <c:v>DETECTION LOGIC &amp; INFRASTRUCTURE</c:v>
                </c:pt>
                <c:pt idx="3">
                  <c:v>EQUIPE &amp; LIDERANÇA</c:v>
                </c:pt>
              </c:strCache>
            </c:strRef>
          </c:cat>
          <c:val>
            <c:numRef>
              <c:f>'Detection Eng'!$M$6:$M$9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01-41FD-8EBE-AE3179B8B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7341"/>
        <c:axId val="49400550"/>
      </c:radarChart>
      <c:catAx>
        <c:axId val="130734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9400550"/>
        <c:crosses val="autoZero"/>
        <c:auto val="1"/>
        <c:lblAlgn val="ctr"/>
        <c:lblOffset val="100"/>
        <c:noMultiLvlLbl val="0"/>
      </c:catAx>
      <c:valAx>
        <c:axId val="49400550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30734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DFIR / Resposta a Incidentes — atual × meta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DFIR!$L$5</c:f>
              <c:strCache>
                <c:ptCount val="1"/>
                <c:pt idx="0">
                  <c:v>Atual</c:v>
                </c:pt>
              </c:strCache>
            </c:strRef>
          </c:tx>
          <c:spPr>
            <a:solidFill>
              <a:srgbClr val="E07A1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DFIR!$K$6:$K$8</c:f>
              <c:strCache>
                <c:ptCount val="3"/>
                <c:pt idx="0">
                  <c:v>PREPARE</c:v>
                </c:pt>
                <c:pt idx="1">
                  <c:v>RESPOND</c:v>
                </c:pt>
                <c:pt idx="2">
                  <c:v>FOLLOW UP</c:v>
                </c:pt>
              </c:strCache>
            </c:strRef>
          </c:cat>
          <c:val>
            <c:numRef>
              <c:f>DFIR!$L$6:$L$8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1-4C67-898C-0413A77737BF}"/>
            </c:ext>
          </c:extLst>
        </c:ser>
        <c:ser>
          <c:idx val="1"/>
          <c:order val="1"/>
          <c:tx>
            <c:strRef>
              <c:f>DFIR!$M$5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DFIR!$K$6:$K$8</c:f>
              <c:strCache>
                <c:ptCount val="3"/>
                <c:pt idx="0">
                  <c:v>PREPARE</c:v>
                </c:pt>
                <c:pt idx="1">
                  <c:v>RESPOND</c:v>
                </c:pt>
                <c:pt idx="2">
                  <c:v>FOLLOW UP</c:v>
                </c:pt>
              </c:strCache>
            </c:strRef>
          </c:cat>
          <c:val>
            <c:numRef>
              <c:f>DFIR!$M$6:$M$8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A1-4C67-898C-0413A7773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86969"/>
        <c:axId val="88619153"/>
      </c:barChart>
      <c:catAx>
        <c:axId val="1428696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8619153"/>
        <c:crosses val="autoZero"/>
        <c:auto val="1"/>
        <c:lblAlgn val="ctr"/>
        <c:lblOffset val="100"/>
        <c:noMultiLvlLbl val="0"/>
      </c:catAx>
      <c:valAx>
        <c:axId val="88619153"/>
        <c:scaling>
          <c:orientation val="minMax"/>
          <c:max val="1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428696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CSIRT — atual × meta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CSIRT!$L$5</c:f>
              <c:strCache>
                <c:ptCount val="1"/>
                <c:pt idx="0">
                  <c:v>Atual</c:v>
                </c:pt>
              </c:strCache>
            </c:strRef>
          </c:tx>
          <c:spPr>
            <a:ln w="21960">
              <a:solidFill>
                <a:srgbClr val="E07A1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CSIRT!$K$6:$K$9</c:f>
              <c:strCache>
                <c:ptCount val="4"/>
                <c:pt idx="0">
                  <c:v>O · ORGANISATION</c:v>
                </c:pt>
                <c:pt idx="1">
                  <c:v>H · HUMAN</c:v>
                </c:pt>
                <c:pt idx="2">
                  <c:v>T · TOOLS</c:v>
                </c:pt>
                <c:pt idx="3">
                  <c:v>P · PROCESSES</c:v>
                </c:pt>
              </c:strCache>
            </c:strRef>
          </c:cat>
          <c:val>
            <c:numRef>
              <c:f>CSIRT!$L$6:$L$9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1-474D-A3AC-AF405C8041CC}"/>
            </c:ext>
          </c:extLst>
        </c:ser>
        <c:ser>
          <c:idx val="1"/>
          <c:order val="1"/>
          <c:tx>
            <c:strRef>
              <c:f>CSIRT!$M$5</c:f>
              <c:strCache>
                <c:ptCount val="1"/>
                <c:pt idx="0">
                  <c:v>Meta</c:v>
                </c:pt>
              </c:strCache>
            </c:strRef>
          </c:tx>
          <c:spPr>
            <a:ln w="28440">
              <a:solidFill>
                <a:srgbClr val="2E75B6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CSIRT!$K$6:$K$9</c:f>
              <c:strCache>
                <c:ptCount val="4"/>
                <c:pt idx="0">
                  <c:v>O · ORGANISATION</c:v>
                </c:pt>
                <c:pt idx="1">
                  <c:v>H · HUMAN</c:v>
                </c:pt>
                <c:pt idx="2">
                  <c:v>T · TOOLS</c:v>
                </c:pt>
                <c:pt idx="3">
                  <c:v>P · PROCESSES</c:v>
                </c:pt>
              </c:strCache>
            </c:strRef>
          </c:cat>
          <c:val>
            <c:numRef>
              <c:f>CSIRT!$M$6:$M$9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F1-474D-A3AC-AF405C804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91396"/>
        <c:axId val="27330191"/>
      </c:radarChart>
      <c:catAx>
        <c:axId val="6459139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7330191"/>
        <c:crosses val="autoZero"/>
        <c:auto val="1"/>
        <c:lblAlgn val="ctr"/>
        <c:lblOffset val="100"/>
        <c:noMultiLvlLbl val="0"/>
      </c:catAx>
      <c:valAx>
        <c:axId val="2733019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459139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PSIRT — atual × meta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PSIRT!$L$5</c:f>
              <c:strCache>
                <c:ptCount val="1"/>
                <c:pt idx="0">
                  <c:v>Atual</c:v>
                </c:pt>
              </c:strCache>
            </c:strRef>
          </c:tx>
          <c:spPr>
            <a:ln w="21960">
              <a:solidFill>
                <a:srgbClr val="E07A1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PSIRT!$K$6:$K$11</c:f>
              <c:strCache>
                <c:ptCount val="6"/>
                <c:pt idx="0">
                  <c:v>Stakeholder Ecosystem Management</c:v>
                </c:pt>
                <c:pt idx="1">
                  <c:v>Vulnerability Discovery</c:v>
                </c:pt>
                <c:pt idx="2">
                  <c:v>Vulnerability Triage &amp; Analysis</c:v>
                </c:pt>
                <c:pt idx="3">
                  <c:v>Remediation</c:v>
                </c:pt>
                <c:pt idx="4">
                  <c:v>Disclosure</c:v>
                </c:pt>
                <c:pt idx="5">
                  <c:v>Training &amp; Education</c:v>
                </c:pt>
              </c:strCache>
            </c:strRef>
          </c:cat>
          <c:val>
            <c:numRef>
              <c:f>PSIRT!$L$6:$L$11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9C-4E8C-BABB-8DF3BD50ABFF}"/>
            </c:ext>
          </c:extLst>
        </c:ser>
        <c:ser>
          <c:idx val="1"/>
          <c:order val="1"/>
          <c:tx>
            <c:strRef>
              <c:f>PSIRT!$M$5</c:f>
              <c:strCache>
                <c:ptCount val="1"/>
                <c:pt idx="0">
                  <c:v>Meta</c:v>
                </c:pt>
              </c:strCache>
            </c:strRef>
          </c:tx>
          <c:spPr>
            <a:ln w="28440">
              <a:solidFill>
                <a:srgbClr val="2E75B6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PSIRT!$K$6:$K$11</c:f>
              <c:strCache>
                <c:ptCount val="6"/>
                <c:pt idx="0">
                  <c:v>Stakeholder Ecosystem Management</c:v>
                </c:pt>
                <c:pt idx="1">
                  <c:v>Vulnerability Discovery</c:v>
                </c:pt>
                <c:pt idx="2">
                  <c:v>Vulnerability Triage &amp; Analysis</c:v>
                </c:pt>
                <c:pt idx="3">
                  <c:v>Remediation</c:v>
                </c:pt>
                <c:pt idx="4">
                  <c:v>Disclosure</c:v>
                </c:pt>
                <c:pt idx="5">
                  <c:v>Training &amp; Education</c:v>
                </c:pt>
              </c:strCache>
            </c:strRef>
          </c:cat>
          <c:val>
            <c:numRef>
              <c:f>PSIRT!$M$6:$M$11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9C-4E8C-BABB-8DF3BD50A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76365"/>
        <c:axId val="47405115"/>
      </c:radarChart>
      <c:catAx>
        <c:axId val="7077636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7405115"/>
        <c:crosses val="autoZero"/>
        <c:auto val="1"/>
        <c:lblAlgn val="ctr"/>
        <c:lblOffset val="100"/>
        <c:noMultiLvlLbl val="0"/>
      </c:catAx>
      <c:valAx>
        <c:axId val="47405115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077636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Deception — atual × meta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Deception!$L$5</c:f>
              <c:strCache>
                <c:ptCount val="1"/>
                <c:pt idx="0">
                  <c:v>Atual</c:v>
                </c:pt>
              </c:strCache>
            </c:strRef>
          </c:tx>
          <c:spPr>
            <a:ln w="21960">
              <a:solidFill>
                <a:srgbClr val="E07A1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Deception!$K$6:$K$10</c:f>
              <c:strCache>
                <c:ptCount val="5"/>
                <c:pt idx="0">
                  <c:v>PREPARE</c:v>
                </c:pt>
                <c:pt idx="1">
                  <c:v>EXPOSE</c:v>
                </c:pt>
                <c:pt idx="2">
                  <c:v>AFFECT</c:v>
                </c:pt>
                <c:pt idx="3">
                  <c:v>ELICIT</c:v>
                </c:pt>
                <c:pt idx="4">
                  <c:v>UNDERSTAND</c:v>
                </c:pt>
              </c:strCache>
            </c:strRef>
          </c:cat>
          <c:val>
            <c:numRef>
              <c:f>Deception!$L$6:$L$10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4-4C6A-B7B9-79B2DDE290B6}"/>
            </c:ext>
          </c:extLst>
        </c:ser>
        <c:ser>
          <c:idx val="1"/>
          <c:order val="1"/>
          <c:tx>
            <c:strRef>
              <c:f>Deception!$M$5</c:f>
              <c:strCache>
                <c:ptCount val="1"/>
                <c:pt idx="0">
                  <c:v>Meta</c:v>
                </c:pt>
              </c:strCache>
            </c:strRef>
          </c:tx>
          <c:spPr>
            <a:ln w="28440">
              <a:solidFill>
                <a:srgbClr val="2E75B6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Deception!$K$6:$K$10</c:f>
              <c:strCache>
                <c:ptCount val="5"/>
                <c:pt idx="0">
                  <c:v>PREPARE</c:v>
                </c:pt>
                <c:pt idx="1">
                  <c:v>EXPOSE</c:v>
                </c:pt>
                <c:pt idx="2">
                  <c:v>AFFECT</c:v>
                </c:pt>
                <c:pt idx="3">
                  <c:v>ELICIT</c:v>
                </c:pt>
                <c:pt idx="4">
                  <c:v>UNDERSTAND</c:v>
                </c:pt>
              </c:strCache>
            </c:strRef>
          </c:cat>
          <c:val>
            <c:numRef>
              <c:f>Deception!$M$6:$M$10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54-4C6A-B7B9-79B2DDE29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315"/>
        <c:axId val="83989213"/>
      </c:radarChart>
      <c:catAx>
        <c:axId val="115531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3989213"/>
        <c:crosses val="autoZero"/>
        <c:auto val="1"/>
        <c:lblAlgn val="ctr"/>
        <c:lblOffset val="100"/>
        <c:noMultiLvlLbl val="0"/>
      </c:catAx>
      <c:valAx>
        <c:axId val="83989213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15531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Gestão de Vulnerabilidades — atual × meta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'Vuln Mgmt'!$L$5</c:f>
              <c:strCache>
                <c:ptCount val="1"/>
                <c:pt idx="0">
                  <c:v>Atual</c:v>
                </c:pt>
              </c:strCache>
            </c:strRef>
          </c:tx>
          <c:spPr>
            <a:ln w="21960">
              <a:solidFill>
                <a:srgbClr val="E07A1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'Vuln Mgmt'!$K$6:$K$10</c:f>
              <c:strCache>
                <c:ptCount val="5"/>
                <c:pt idx="0">
                  <c:v>PREPARE</c:v>
                </c:pt>
                <c:pt idx="1">
                  <c:v>IDENTIFY</c:v>
                </c:pt>
                <c:pt idx="2">
                  <c:v>ANALYZE</c:v>
                </c:pt>
                <c:pt idx="3">
                  <c:v>COMMUNICATE</c:v>
                </c:pt>
                <c:pt idx="4">
                  <c:v>TREAT</c:v>
                </c:pt>
              </c:strCache>
            </c:strRef>
          </c:cat>
          <c:val>
            <c:numRef>
              <c:f>'Vuln Mgmt'!$L$6:$L$10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2-4FE3-89CF-A0343935250A}"/>
            </c:ext>
          </c:extLst>
        </c:ser>
        <c:ser>
          <c:idx val="1"/>
          <c:order val="1"/>
          <c:tx>
            <c:strRef>
              <c:f>'Vuln Mgmt'!$M$5</c:f>
              <c:strCache>
                <c:ptCount val="1"/>
                <c:pt idx="0">
                  <c:v>Meta</c:v>
                </c:pt>
              </c:strCache>
            </c:strRef>
          </c:tx>
          <c:spPr>
            <a:ln w="28440">
              <a:solidFill>
                <a:srgbClr val="2E75B6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'Vuln Mgmt'!$K$6:$K$10</c:f>
              <c:strCache>
                <c:ptCount val="5"/>
                <c:pt idx="0">
                  <c:v>PREPARE</c:v>
                </c:pt>
                <c:pt idx="1">
                  <c:v>IDENTIFY</c:v>
                </c:pt>
                <c:pt idx="2">
                  <c:v>ANALYZE</c:v>
                </c:pt>
                <c:pt idx="3">
                  <c:v>COMMUNICATE</c:v>
                </c:pt>
                <c:pt idx="4">
                  <c:v>TREAT</c:v>
                </c:pt>
              </c:strCache>
            </c:strRef>
          </c:cat>
          <c:val>
            <c:numRef>
              <c:f>'Vuln Mgmt'!$M$6:$M$10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C2-4FE3-89CF-A03439352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91358"/>
        <c:axId val="95894987"/>
      </c:radarChart>
      <c:catAx>
        <c:axId val="5169135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5894987"/>
        <c:crosses val="autoZero"/>
        <c:auto val="1"/>
        <c:lblAlgn val="ctr"/>
        <c:lblOffset val="100"/>
        <c:noMultiLvlLbl val="0"/>
      </c:catAx>
      <c:valAx>
        <c:axId val="95894987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169135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Automação &amp; SOAR — atual × meta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Automacao!$L$5</c:f>
              <c:strCache>
                <c:ptCount val="1"/>
                <c:pt idx="0">
                  <c:v>Atual</c:v>
                </c:pt>
              </c:strCache>
            </c:strRef>
          </c:tx>
          <c:spPr>
            <a:solidFill>
              <a:srgbClr val="E07A1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Automacao!$K$6:$K$8</c:f>
              <c:strCache>
                <c:ptCount val="3"/>
                <c:pt idx="0">
                  <c:v>Estratégia &amp; casos de uso</c:v>
                </c:pt>
                <c:pt idx="1">
                  <c:v>Implementação &amp; integrações</c:v>
                </c:pt>
                <c:pt idx="2">
                  <c:v>Operação &amp; medição</c:v>
                </c:pt>
              </c:strCache>
            </c:strRef>
          </c:cat>
          <c:val>
            <c:numRef>
              <c:f>Automacao!$L$6:$L$8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1F-4033-84E6-0117C205B66E}"/>
            </c:ext>
          </c:extLst>
        </c:ser>
        <c:ser>
          <c:idx val="1"/>
          <c:order val="1"/>
          <c:tx>
            <c:strRef>
              <c:f>Automacao!$M$5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Automacao!$K$6:$K$8</c:f>
              <c:strCache>
                <c:ptCount val="3"/>
                <c:pt idx="0">
                  <c:v>Estratégia &amp; casos de uso</c:v>
                </c:pt>
                <c:pt idx="1">
                  <c:v>Implementação &amp; integrações</c:v>
                </c:pt>
                <c:pt idx="2">
                  <c:v>Operação &amp; medição</c:v>
                </c:pt>
              </c:strCache>
            </c:strRef>
          </c:cat>
          <c:val>
            <c:numRef>
              <c:f>Automacao!$M$6:$M$8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1F-4033-84E6-0117C205B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855123"/>
        <c:axId val="73898338"/>
      </c:barChart>
      <c:catAx>
        <c:axId val="348551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3898338"/>
        <c:crosses val="autoZero"/>
        <c:auto val="1"/>
        <c:lblAlgn val="ctr"/>
        <c:lblOffset val="100"/>
        <c:noMultiLvlLbl val="0"/>
      </c:catAx>
      <c:valAx>
        <c:axId val="73898338"/>
        <c:scaling>
          <c:orientation val="minMax"/>
          <c:max val="1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48551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Maturidade por domínio (atual × meta)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Dash!$E$66</c:f>
              <c:strCache>
                <c:ptCount val="1"/>
                <c:pt idx="0">
                  <c:v>Maturidade atual</c:v>
                </c:pt>
              </c:strCache>
            </c:strRef>
          </c:tx>
          <c:spPr>
            <a:ln w="21960">
              <a:solidFill>
                <a:srgbClr val="E07A1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Dash!$A$67:$A$75</c:f>
              <c:strCache>
                <c:ptCount val="9"/>
                <c:pt idx="0">
                  <c:v>CTI</c:v>
                </c:pt>
                <c:pt idx="1">
                  <c:v>Threat Hunting</c:v>
                </c:pt>
                <c:pt idx="2">
                  <c:v>Detection Engineering</c:v>
                </c:pt>
                <c:pt idx="3">
                  <c:v>DFIR / Resposta a Incidentes</c:v>
                </c:pt>
                <c:pt idx="4">
                  <c:v>CSIRT</c:v>
                </c:pt>
                <c:pt idx="5">
                  <c:v>PSIRT</c:v>
                </c:pt>
                <c:pt idx="6">
                  <c:v>Deception</c:v>
                </c:pt>
                <c:pt idx="7">
                  <c:v>Gestão de Vulnerabilidades</c:v>
                </c:pt>
                <c:pt idx="8">
                  <c:v>Automação &amp; SOAR</c:v>
                </c:pt>
              </c:strCache>
            </c:strRef>
          </c:cat>
          <c:val>
            <c:numRef>
              <c:f>Dash!$E$67:$E$75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0-4B58-A536-912F9F3C41E8}"/>
            </c:ext>
          </c:extLst>
        </c:ser>
        <c:ser>
          <c:idx val="1"/>
          <c:order val="1"/>
          <c:tx>
            <c:strRef>
              <c:f>Dash!$F$66</c:f>
              <c:strCache>
                <c:ptCount val="1"/>
                <c:pt idx="0">
                  <c:v>Maturidade meta</c:v>
                </c:pt>
              </c:strCache>
            </c:strRef>
          </c:tx>
          <c:spPr>
            <a:ln w="28440">
              <a:solidFill>
                <a:srgbClr val="2E75B6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Dash!$A$67:$A$75</c:f>
              <c:strCache>
                <c:ptCount val="9"/>
                <c:pt idx="0">
                  <c:v>CTI</c:v>
                </c:pt>
                <c:pt idx="1">
                  <c:v>Threat Hunting</c:v>
                </c:pt>
                <c:pt idx="2">
                  <c:v>Detection Engineering</c:v>
                </c:pt>
                <c:pt idx="3">
                  <c:v>DFIR / Resposta a Incidentes</c:v>
                </c:pt>
                <c:pt idx="4">
                  <c:v>CSIRT</c:v>
                </c:pt>
                <c:pt idx="5">
                  <c:v>PSIRT</c:v>
                </c:pt>
                <c:pt idx="6">
                  <c:v>Deception</c:v>
                </c:pt>
                <c:pt idx="7">
                  <c:v>Gestão de Vulnerabilidades</c:v>
                </c:pt>
                <c:pt idx="8">
                  <c:v>Automação &amp; SOAR</c:v>
                </c:pt>
              </c:strCache>
            </c:strRef>
          </c:cat>
          <c:val>
            <c:numRef>
              <c:f>Dash!$F$67:$F$75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B0-4B58-A536-912F9F3C4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8283"/>
        <c:axId val="58579819"/>
      </c:radarChart>
      <c:catAx>
        <c:axId val="77482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8579819"/>
        <c:crosses val="autoZero"/>
        <c:auto val="1"/>
        <c:lblAlgn val="ctr"/>
        <c:lblOffset val="100"/>
        <c:noMultiLvlLbl val="0"/>
      </c:catAx>
      <c:valAx>
        <c:axId val="58579819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74828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Maturidade atual × meta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Dash!$E$8</c:f>
              <c:strCache>
                <c:ptCount val="1"/>
                <c:pt idx="0">
                  <c:v>Maturidade atual</c:v>
                </c:pt>
              </c:strCache>
            </c:strRef>
          </c:tx>
          <c:spPr>
            <a:solidFill>
              <a:srgbClr val="E07A1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Dash!$A$9:$A$62</c:f>
              <c:strCache>
                <c:ptCount val="54"/>
                <c:pt idx="0">
                  <c:v>▍ CTI</c:v>
                </c:pt>
                <c:pt idx="1">
                  <c:v>    PROGRAM</c:v>
                </c:pt>
                <c:pt idx="2">
                  <c:v>    ASSET</c:v>
                </c:pt>
                <c:pt idx="3">
                  <c:v>    THREAT</c:v>
                </c:pt>
                <c:pt idx="4">
                  <c:v>    RISK</c:v>
                </c:pt>
                <c:pt idx="5">
                  <c:v>    SITUATION</c:v>
                </c:pt>
                <c:pt idx="6">
                  <c:v>    RESPONSE</c:v>
                </c:pt>
                <c:pt idx="7">
                  <c:v>    ACCESS</c:v>
                </c:pt>
                <c:pt idx="8">
                  <c:v>    WORKFORCE</c:v>
                </c:pt>
                <c:pt idx="9">
                  <c:v>    ARCHITECTURE</c:v>
                </c:pt>
                <c:pt idx="10">
                  <c:v>    THIRD-PARTIES</c:v>
                </c:pt>
                <c:pt idx="11">
                  <c:v>    FRAUD</c:v>
                </c:pt>
                <c:pt idx="12">
                  <c:v>▍ Threat Hunting</c:v>
                </c:pt>
                <c:pt idx="13">
                  <c:v>    PREPARE</c:v>
                </c:pt>
                <c:pt idx="14">
                  <c:v>    EXECUTE</c:v>
                </c:pt>
                <c:pt idx="15">
                  <c:v>    ACT · Documentação,</c:v>
                </c:pt>
                <c:pt idx="16">
                  <c:v>    MÉTRICAS</c:v>
                </c:pt>
                <c:pt idx="17">
                  <c:v>▍ Detection Engineering</c:v>
                </c:pt>
                <c:pt idx="18">
                  <c:v>    DETECTION-AS-CODE</c:v>
                </c:pt>
                <c:pt idx="19">
                  <c:v>    INCIDENT RESPONSE EXPERIENCE</c:v>
                </c:pt>
                <c:pt idx="20">
                  <c:v>    DETECTION LOGIC &amp; INFRASTRUCTURE</c:v>
                </c:pt>
                <c:pt idx="21">
                  <c:v>    EQUIPE &amp; LIDERANÇA</c:v>
                </c:pt>
                <c:pt idx="22">
                  <c:v>▍ DFIR / Resposta a Incidentes</c:v>
                </c:pt>
                <c:pt idx="23">
                  <c:v>    PREPARE</c:v>
                </c:pt>
                <c:pt idx="24">
                  <c:v>    RESPOND</c:v>
                </c:pt>
                <c:pt idx="25">
                  <c:v>    FOLLOW UP</c:v>
                </c:pt>
                <c:pt idx="26">
                  <c:v>▍ CSIRT</c:v>
                </c:pt>
                <c:pt idx="27">
                  <c:v>    O · ORGANISATION</c:v>
                </c:pt>
                <c:pt idx="28">
                  <c:v>    H · HUMAN</c:v>
                </c:pt>
                <c:pt idx="29">
                  <c:v>    T · TOOLS</c:v>
                </c:pt>
                <c:pt idx="30">
                  <c:v>    P · PROCESSES</c:v>
                </c:pt>
                <c:pt idx="31">
                  <c:v>▍ PSIRT</c:v>
                </c:pt>
                <c:pt idx="32">
                  <c:v>    Stakeholder Ecosystem Management</c:v>
                </c:pt>
                <c:pt idx="33">
                  <c:v>    Vulnerability Discovery</c:v>
                </c:pt>
                <c:pt idx="34">
                  <c:v>    Vulnerability Triage &amp; Analysis</c:v>
                </c:pt>
                <c:pt idx="35">
                  <c:v>    Remediation</c:v>
                </c:pt>
                <c:pt idx="36">
                  <c:v>    Disclosure</c:v>
                </c:pt>
                <c:pt idx="37">
                  <c:v>    Training &amp; Education</c:v>
                </c:pt>
                <c:pt idx="38">
                  <c:v>▍ Deception</c:v>
                </c:pt>
                <c:pt idx="39">
                  <c:v>    PREPARE</c:v>
                </c:pt>
                <c:pt idx="40">
                  <c:v>    EXPOSE</c:v>
                </c:pt>
                <c:pt idx="41">
                  <c:v>    AFFECT</c:v>
                </c:pt>
                <c:pt idx="42">
                  <c:v>    ELICIT</c:v>
                </c:pt>
                <c:pt idx="43">
                  <c:v>    UNDERSTAND</c:v>
                </c:pt>
                <c:pt idx="44">
                  <c:v>▍ Gestão de Vulnerabilidades</c:v>
                </c:pt>
                <c:pt idx="45">
                  <c:v>    PREPARE</c:v>
                </c:pt>
                <c:pt idx="46">
                  <c:v>    IDENTIFY</c:v>
                </c:pt>
                <c:pt idx="47">
                  <c:v>    ANALYZE</c:v>
                </c:pt>
                <c:pt idx="48">
                  <c:v>    COMMUNICATE</c:v>
                </c:pt>
                <c:pt idx="49">
                  <c:v>    TREAT</c:v>
                </c:pt>
                <c:pt idx="50">
                  <c:v>▍ Automação &amp; SOAR</c:v>
                </c:pt>
                <c:pt idx="51">
                  <c:v>    Estratégia &amp; casos de uso</c:v>
                </c:pt>
                <c:pt idx="52">
                  <c:v>    Implementação &amp; integrações</c:v>
                </c:pt>
                <c:pt idx="53">
                  <c:v>    Operação &amp; medição</c:v>
                </c:pt>
              </c:strCache>
            </c:strRef>
          </c:cat>
          <c:val>
            <c:numRef>
              <c:f>Dash!$E$9:$E$62</c:f>
              <c:numCache>
                <c:formatCode>0%</c:formatCode>
                <c:ptCount val="54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3-4F09-AB00-7A7BDB64B044}"/>
            </c:ext>
          </c:extLst>
        </c:ser>
        <c:ser>
          <c:idx val="1"/>
          <c:order val="1"/>
          <c:tx>
            <c:strRef>
              <c:f>Dash!$F$8</c:f>
              <c:strCache>
                <c:ptCount val="1"/>
                <c:pt idx="0">
                  <c:v>Maturidade meta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Dash!$A$9:$A$62</c:f>
              <c:strCache>
                <c:ptCount val="54"/>
                <c:pt idx="0">
                  <c:v>▍ CTI</c:v>
                </c:pt>
                <c:pt idx="1">
                  <c:v>    PROGRAM</c:v>
                </c:pt>
                <c:pt idx="2">
                  <c:v>    ASSET</c:v>
                </c:pt>
                <c:pt idx="3">
                  <c:v>    THREAT</c:v>
                </c:pt>
                <c:pt idx="4">
                  <c:v>    RISK</c:v>
                </c:pt>
                <c:pt idx="5">
                  <c:v>    SITUATION</c:v>
                </c:pt>
                <c:pt idx="6">
                  <c:v>    RESPONSE</c:v>
                </c:pt>
                <c:pt idx="7">
                  <c:v>    ACCESS</c:v>
                </c:pt>
                <c:pt idx="8">
                  <c:v>    WORKFORCE</c:v>
                </c:pt>
                <c:pt idx="9">
                  <c:v>    ARCHITECTURE</c:v>
                </c:pt>
                <c:pt idx="10">
                  <c:v>    THIRD-PARTIES</c:v>
                </c:pt>
                <c:pt idx="11">
                  <c:v>    FRAUD</c:v>
                </c:pt>
                <c:pt idx="12">
                  <c:v>▍ Threat Hunting</c:v>
                </c:pt>
                <c:pt idx="13">
                  <c:v>    PREPARE</c:v>
                </c:pt>
                <c:pt idx="14">
                  <c:v>    EXECUTE</c:v>
                </c:pt>
                <c:pt idx="15">
                  <c:v>    ACT · Documentação,</c:v>
                </c:pt>
                <c:pt idx="16">
                  <c:v>    MÉTRICAS</c:v>
                </c:pt>
                <c:pt idx="17">
                  <c:v>▍ Detection Engineering</c:v>
                </c:pt>
                <c:pt idx="18">
                  <c:v>    DETECTION-AS-CODE</c:v>
                </c:pt>
                <c:pt idx="19">
                  <c:v>    INCIDENT RESPONSE EXPERIENCE</c:v>
                </c:pt>
                <c:pt idx="20">
                  <c:v>    DETECTION LOGIC &amp; INFRASTRUCTURE</c:v>
                </c:pt>
                <c:pt idx="21">
                  <c:v>    EQUIPE &amp; LIDERANÇA</c:v>
                </c:pt>
                <c:pt idx="22">
                  <c:v>▍ DFIR / Resposta a Incidentes</c:v>
                </c:pt>
                <c:pt idx="23">
                  <c:v>    PREPARE</c:v>
                </c:pt>
                <c:pt idx="24">
                  <c:v>    RESPOND</c:v>
                </c:pt>
                <c:pt idx="25">
                  <c:v>    FOLLOW UP</c:v>
                </c:pt>
                <c:pt idx="26">
                  <c:v>▍ CSIRT</c:v>
                </c:pt>
                <c:pt idx="27">
                  <c:v>    O · ORGANISATION</c:v>
                </c:pt>
                <c:pt idx="28">
                  <c:v>    H · HUMAN</c:v>
                </c:pt>
                <c:pt idx="29">
                  <c:v>    T · TOOLS</c:v>
                </c:pt>
                <c:pt idx="30">
                  <c:v>    P · PROCESSES</c:v>
                </c:pt>
                <c:pt idx="31">
                  <c:v>▍ PSIRT</c:v>
                </c:pt>
                <c:pt idx="32">
                  <c:v>    Stakeholder Ecosystem Management</c:v>
                </c:pt>
                <c:pt idx="33">
                  <c:v>    Vulnerability Discovery</c:v>
                </c:pt>
                <c:pt idx="34">
                  <c:v>    Vulnerability Triage &amp; Analysis</c:v>
                </c:pt>
                <c:pt idx="35">
                  <c:v>    Remediation</c:v>
                </c:pt>
                <c:pt idx="36">
                  <c:v>    Disclosure</c:v>
                </c:pt>
                <c:pt idx="37">
                  <c:v>    Training &amp; Education</c:v>
                </c:pt>
                <c:pt idx="38">
                  <c:v>▍ Deception</c:v>
                </c:pt>
                <c:pt idx="39">
                  <c:v>    PREPARE</c:v>
                </c:pt>
                <c:pt idx="40">
                  <c:v>    EXPOSE</c:v>
                </c:pt>
                <c:pt idx="41">
                  <c:v>    AFFECT</c:v>
                </c:pt>
                <c:pt idx="42">
                  <c:v>    ELICIT</c:v>
                </c:pt>
                <c:pt idx="43">
                  <c:v>    UNDERSTAND</c:v>
                </c:pt>
                <c:pt idx="44">
                  <c:v>▍ Gestão de Vulnerabilidades</c:v>
                </c:pt>
                <c:pt idx="45">
                  <c:v>    PREPARE</c:v>
                </c:pt>
                <c:pt idx="46">
                  <c:v>    IDENTIFY</c:v>
                </c:pt>
                <c:pt idx="47">
                  <c:v>    ANALYZE</c:v>
                </c:pt>
                <c:pt idx="48">
                  <c:v>    COMMUNICATE</c:v>
                </c:pt>
                <c:pt idx="49">
                  <c:v>    TREAT</c:v>
                </c:pt>
                <c:pt idx="50">
                  <c:v>▍ Automação &amp; SOAR</c:v>
                </c:pt>
                <c:pt idx="51">
                  <c:v>    Estratégia &amp; casos de uso</c:v>
                </c:pt>
                <c:pt idx="52">
                  <c:v>    Implementação &amp; integrações</c:v>
                </c:pt>
                <c:pt idx="53">
                  <c:v>    Operação &amp; medição</c:v>
                </c:pt>
              </c:strCache>
            </c:strRef>
          </c:cat>
          <c:val>
            <c:numRef>
              <c:f>Dash!$F$9:$F$62</c:f>
              <c:numCache>
                <c:formatCode>0%</c:formatCode>
                <c:ptCount val="54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13-4F09-AB00-7A7BDB64B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403555"/>
        <c:axId val="77143578"/>
      </c:barChart>
      <c:catAx>
        <c:axId val="374035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7143578"/>
        <c:crosses val="autoZero"/>
        <c:auto val="1"/>
        <c:lblAlgn val="ctr"/>
        <c:lblOffset val="100"/>
        <c:noMultiLvlLbl val="0"/>
      </c:catAx>
      <c:valAx>
        <c:axId val="77143578"/>
        <c:scaling>
          <c:orientation val="minMax"/>
          <c:max val="1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74035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200024</xdr:colOff>
      <xdr:row>16</xdr:row>
      <xdr:rowOff>533399</xdr:rowOff>
    </xdr:from>
    <xdr:to>
      <xdr:col>20</xdr:col>
      <xdr:colOff>304799</xdr:colOff>
      <xdr:row>29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</xdr:row>
      <xdr:rowOff>0</xdr:rowOff>
    </xdr:from>
    <xdr:to>
      <xdr:col>15</xdr:col>
      <xdr:colOff>409680</xdr:colOff>
      <xdr:row>16</xdr:row>
      <xdr:rowOff>253080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542925</xdr:colOff>
      <xdr:row>4</xdr:row>
      <xdr:rowOff>123825</xdr:rowOff>
    </xdr:from>
    <xdr:to>
      <xdr:col>23</xdr:col>
      <xdr:colOff>38205</xdr:colOff>
      <xdr:row>11</xdr:row>
      <xdr:rowOff>129255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9</xdr:row>
      <xdr:rowOff>0</xdr:rowOff>
    </xdr:from>
    <xdr:to>
      <xdr:col>15</xdr:col>
      <xdr:colOff>409680</xdr:colOff>
      <xdr:row>16</xdr:row>
      <xdr:rowOff>5400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</xdr:row>
      <xdr:rowOff>0</xdr:rowOff>
    </xdr:from>
    <xdr:to>
      <xdr:col>15</xdr:col>
      <xdr:colOff>409680</xdr:colOff>
      <xdr:row>15</xdr:row>
      <xdr:rowOff>500760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12</xdr:row>
      <xdr:rowOff>0</xdr:rowOff>
    </xdr:from>
    <xdr:to>
      <xdr:col>15</xdr:col>
      <xdr:colOff>409680</xdr:colOff>
      <xdr:row>19</xdr:row>
      <xdr:rowOff>5400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11</xdr:row>
      <xdr:rowOff>0</xdr:rowOff>
    </xdr:from>
    <xdr:to>
      <xdr:col>15</xdr:col>
      <xdr:colOff>409680</xdr:colOff>
      <xdr:row>18</xdr:row>
      <xdr:rowOff>290880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11</xdr:row>
      <xdr:rowOff>0</xdr:rowOff>
    </xdr:from>
    <xdr:to>
      <xdr:col>15</xdr:col>
      <xdr:colOff>409680</xdr:colOff>
      <xdr:row>18</xdr:row>
      <xdr:rowOff>5040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9</xdr:row>
      <xdr:rowOff>0</xdr:rowOff>
    </xdr:from>
    <xdr:to>
      <xdr:col>15</xdr:col>
      <xdr:colOff>409680</xdr:colOff>
      <xdr:row>15</xdr:row>
      <xdr:rowOff>253080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19</xdr:col>
      <xdr:colOff>190500</xdr:colOff>
      <xdr:row>26</xdr:row>
      <xdr:rowOff>66675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28</xdr:row>
      <xdr:rowOff>0</xdr:rowOff>
    </xdr:from>
    <xdr:to>
      <xdr:col>17</xdr:col>
      <xdr:colOff>255960</xdr:colOff>
      <xdr:row>84</xdr:row>
      <xdr:rowOff>25920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4375A"/>
  </sheetPr>
  <dimension ref="A1:E70"/>
  <sheetViews>
    <sheetView showGridLines="0" topLeftCell="A36" zoomScaleNormal="100" workbookViewId="0">
      <selection sqref="A1:E1"/>
    </sheetView>
  </sheetViews>
  <sheetFormatPr defaultColWidth="8.7109375" defaultRowHeight="15" x14ac:dyDescent="0.25"/>
  <cols>
    <col min="1" max="1" width="18" customWidth="1"/>
    <col min="2" max="2" width="42" customWidth="1"/>
    <col min="3" max="3" width="30" customWidth="1"/>
    <col min="4" max="4" width="24" customWidth="1"/>
    <col min="5" max="5" width="66" customWidth="1"/>
  </cols>
  <sheetData>
    <row r="1" spans="1:5" ht="30" customHeight="1" x14ac:dyDescent="0.25">
      <c r="A1" s="14" t="s">
        <v>0</v>
      </c>
      <c r="B1" s="14"/>
      <c r="C1" s="14"/>
      <c r="D1" s="14"/>
      <c r="E1" s="14"/>
    </row>
    <row r="2" spans="1:5" ht="18" customHeight="1" x14ac:dyDescent="0.25">
      <c r="A2" s="13" t="s">
        <v>1</v>
      </c>
      <c r="B2" s="13"/>
      <c r="C2" s="13"/>
      <c r="D2" s="13"/>
      <c r="E2" s="13"/>
    </row>
    <row r="4" spans="1:5" ht="19.5" customHeight="1" x14ac:dyDescent="0.25">
      <c r="A4" s="12" t="s">
        <v>2</v>
      </c>
      <c r="B4" s="12"/>
      <c r="C4" s="12"/>
      <c r="D4" s="12"/>
      <c r="E4" s="12"/>
    </row>
    <row r="5" spans="1:5" ht="49.5" customHeight="1" x14ac:dyDescent="0.25">
      <c r="A5" s="11" t="s">
        <v>3</v>
      </c>
      <c r="B5" s="11"/>
      <c r="C5" s="11"/>
      <c r="D5" s="11"/>
      <c r="E5" s="11"/>
    </row>
    <row r="6" spans="1:5" ht="43.5" customHeight="1" x14ac:dyDescent="0.25">
      <c r="A6" s="11" t="s">
        <v>4</v>
      </c>
      <c r="B6" s="11"/>
      <c r="C6" s="11"/>
      <c r="D6" s="11"/>
      <c r="E6" s="11"/>
    </row>
    <row r="8" spans="1:5" ht="19.5" customHeight="1" x14ac:dyDescent="0.25">
      <c r="A8" s="12" t="s">
        <v>5</v>
      </c>
      <c r="B8" s="12"/>
      <c r="C8" s="12"/>
      <c r="D8" s="12"/>
      <c r="E8" s="12"/>
    </row>
    <row r="9" spans="1:5" x14ac:dyDescent="0.25">
      <c r="A9" s="15" t="s">
        <v>6</v>
      </c>
      <c r="B9" s="15" t="s">
        <v>7</v>
      </c>
      <c r="C9" s="15" t="s">
        <v>8</v>
      </c>
      <c r="D9" s="15" t="s">
        <v>9</v>
      </c>
      <c r="E9" s="15" t="s">
        <v>10</v>
      </c>
    </row>
    <row r="10" spans="1:5" ht="25.5" customHeight="1" x14ac:dyDescent="0.25">
      <c r="A10" s="16" t="s">
        <v>11</v>
      </c>
      <c r="B10" s="16" t="s">
        <v>12</v>
      </c>
      <c r="C10" s="16" t="s">
        <v>13</v>
      </c>
      <c r="D10" s="16" t="s">
        <v>14</v>
      </c>
      <c r="E10" s="16" t="s">
        <v>15</v>
      </c>
    </row>
    <row r="11" spans="1:5" ht="25.5" customHeight="1" x14ac:dyDescent="0.25">
      <c r="A11" s="17" t="s">
        <v>16</v>
      </c>
      <c r="B11" s="17" t="s">
        <v>17</v>
      </c>
      <c r="C11" s="17" t="s">
        <v>18</v>
      </c>
      <c r="D11" s="17" t="s">
        <v>19</v>
      </c>
      <c r="E11" s="17" t="s">
        <v>20</v>
      </c>
    </row>
    <row r="12" spans="1:5" ht="25.5" customHeight="1" x14ac:dyDescent="0.25">
      <c r="A12" s="16" t="s">
        <v>21</v>
      </c>
      <c r="B12" s="16" t="s">
        <v>22</v>
      </c>
      <c r="C12" s="16" t="s">
        <v>23</v>
      </c>
      <c r="D12" s="16" t="s">
        <v>24</v>
      </c>
      <c r="E12" s="16" t="s">
        <v>25</v>
      </c>
    </row>
    <row r="13" spans="1:5" ht="25.5" customHeight="1" x14ac:dyDescent="0.25">
      <c r="A13" s="17" t="s">
        <v>26</v>
      </c>
      <c r="B13" s="17" t="s">
        <v>27</v>
      </c>
      <c r="C13" s="17" t="s">
        <v>28</v>
      </c>
      <c r="D13" s="17" t="s">
        <v>24</v>
      </c>
      <c r="E13" s="17" t="s">
        <v>29</v>
      </c>
    </row>
    <row r="14" spans="1:5" ht="25.5" customHeight="1" x14ac:dyDescent="0.25">
      <c r="A14" s="16" t="s">
        <v>30</v>
      </c>
      <c r="B14" s="16" t="s">
        <v>31</v>
      </c>
      <c r="C14" s="16" t="s">
        <v>32</v>
      </c>
      <c r="D14" s="16" t="s">
        <v>33</v>
      </c>
      <c r="E14" s="16" t="s">
        <v>34</v>
      </c>
    </row>
    <row r="15" spans="1:5" ht="25.5" customHeight="1" x14ac:dyDescent="0.25">
      <c r="A15" s="17" t="s">
        <v>35</v>
      </c>
      <c r="B15" s="17" t="s">
        <v>36</v>
      </c>
      <c r="C15" s="17" t="s">
        <v>37</v>
      </c>
      <c r="D15" s="17" t="s">
        <v>38</v>
      </c>
      <c r="E15" s="17" t="s">
        <v>39</v>
      </c>
    </row>
    <row r="16" spans="1:5" ht="25.5" customHeight="1" x14ac:dyDescent="0.25">
      <c r="A16" s="16" t="s">
        <v>40</v>
      </c>
      <c r="B16" s="16" t="s">
        <v>41</v>
      </c>
      <c r="C16" s="16" t="s">
        <v>42</v>
      </c>
      <c r="D16" s="16" t="s">
        <v>43</v>
      </c>
      <c r="E16" s="16" t="s">
        <v>44</v>
      </c>
    </row>
    <row r="17" spans="1:5" ht="25.5" customHeight="1" x14ac:dyDescent="0.25">
      <c r="A17" s="17" t="s">
        <v>45</v>
      </c>
      <c r="B17" s="17" t="s">
        <v>46</v>
      </c>
      <c r="C17" s="17" t="s">
        <v>47</v>
      </c>
      <c r="D17" s="17" t="s">
        <v>24</v>
      </c>
      <c r="E17" s="17" t="s">
        <v>48</v>
      </c>
    </row>
    <row r="18" spans="1:5" ht="25.5" customHeight="1" x14ac:dyDescent="0.25">
      <c r="A18" s="16" t="s">
        <v>49</v>
      </c>
      <c r="B18" s="16" t="s">
        <v>50</v>
      </c>
      <c r="C18" s="16" t="s">
        <v>51</v>
      </c>
      <c r="D18" s="16" t="s">
        <v>43</v>
      </c>
      <c r="E18" s="16" t="s">
        <v>52</v>
      </c>
    </row>
    <row r="20" spans="1:5" ht="19.5" customHeight="1" x14ac:dyDescent="0.25">
      <c r="A20" s="12" t="s">
        <v>53</v>
      </c>
      <c r="B20" s="12"/>
      <c r="C20" s="12"/>
      <c r="D20" s="12"/>
      <c r="E20" s="12"/>
    </row>
    <row r="21" spans="1:5" x14ac:dyDescent="0.25">
      <c r="A21" s="10" t="s">
        <v>54</v>
      </c>
      <c r="B21" s="10"/>
      <c r="C21" s="10"/>
      <c r="D21" s="10"/>
      <c r="E21" s="10"/>
    </row>
    <row r="22" spans="1:5" ht="24" customHeight="1" x14ac:dyDescent="0.25">
      <c r="A22" s="18" t="s">
        <v>55</v>
      </c>
      <c r="B22" s="19" t="s">
        <v>56</v>
      </c>
      <c r="C22" s="9" t="s">
        <v>57</v>
      </c>
      <c r="D22" s="9"/>
      <c r="E22" s="9"/>
    </row>
    <row r="23" spans="1:5" ht="24" customHeight="1" x14ac:dyDescent="0.25">
      <c r="A23" s="18" t="s">
        <v>58</v>
      </c>
      <c r="B23" s="19" t="s">
        <v>59</v>
      </c>
      <c r="C23" s="9" t="s">
        <v>60</v>
      </c>
      <c r="D23" s="9"/>
      <c r="E23" s="9"/>
    </row>
    <row r="24" spans="1:5" ht="24" customHeight="1" x14ac:dyDescent="0.25">
      <c r="A24" s="18" t="s">
        <v>61</v>
      </c>
      <c r="B24" s="19" t="s">
        <v>62</v>
      </c>
      <c r="C24" s="9" t="s">
        <v>63</v>
      </c>
      <c r="D24" s="9"/>
      <c r="E24" s="9"/>
    </row>
    <row r="25" spans="1:5" ht="24" customHeight="1" x14ac:dyDescent="0.25">
      <c r="A25" s="18" t="s">
        <v>64</v>
      </c>
      <c r="B25" s="19" t="s">
        <v>65</v>
      </c>
      <c r="C25" s="9" t="s">
        <v>66</v>
      </c>
      <c r="D25" s="9"/>
      <c r="E25" s="9"/>
    </row>
    <row r="27" spans="1:5" x14ac:dyDescent="0.25">
      <c r="A27" s="10" t="s">
        <v>67</v>
      </c>
      <c r="B27" s="10"/>
      <c r="C27" s="10"/>
      <c r="D27" s="10"/>
      <c r="E27" s="10"/>
    </row>
    <row r="28" spans="1:5" ht="24" customHeight="1" x14ac:dyDescent="0.25">
      <c r="A28" s="18" t="s">
        <v>55</v>
      </c>
      <c r="B28" s="19" t="s">
        <v>68</v>
      </c>
      <c r="C28" s="9" t="s">
        <v>69</v>
      </c>
      <c r="D28" s="9"/>
      <c r="E28" s="9"/>
    </row>
    <row r="29" spans="1:5" ht="24" customHeight="1" x14ac:dyDescent="0.25">
      <c r="A29" s="18" t="s">
        <v>58</v>
      </c>
      <c r="B29" s="19" t="s">
        <v>70</v>
      </c>
      <c r="C29" s="9" t="s">
        <v>71</v>
      </c>
      <c r="D29" s="9"/>
      <c r="E29" s="9"/>
    </row>
    <row r="30" spans="1:5" ht="24" customHeight="1" x14ac:dyDescent="0.25">
      <c r="A30" s="18" t="s">
        <v>61</v>
      </c>
      <c r="B30" s="19" t="s">
        <v>72</v>
      </c>
      <c r="C30" s="9" t="s">
        <v>73</v>
      </c>
      <c r="D30" s="9"/>
      <c r="E30" s="9"/>
    </row>
    <row r="31" spans="1:5" ht="24" customHeight="1" x14ac:dyDescent="0.25">
      <c r="A31" s="18" t="s">
        <v>64</v>
      </c>
      <c r="B31" s="19" t="s">
        <v>74</v>
      </c>
      <c r="C31" s="9" t="s">
        <v>75</v>
      </c>
      <c r="D31" s="9"/>
      <c r="E31" s="9"/>
    </row>
    <row r="32" spans="1:5" ht="24" customHeight="1" x14ac:dyDescent="0.25">
      <c r="A32" s="18" t="s">
        <v>76</v>
      </c>
      <c r="B32" s="19" t="s">
        <v>77</v>
      </c>
      <c r="C32" s="9" t="s">
        <v>78</v>
      </c>
      <c r="D32" s="9"/>
      <c r="E32" s="9"/>
    </row>
    <row r="34" spans="1:5" x14ac:dyDescent="0.25">
      <c r="A34" s="10" t="s">
        <v>79</v>
      </c>
      <c r="B34" s="10"/>
      <c r="C34" s="10"/>
      <c r="D34" s="10"/>
      <c r="E34" s="10"/>
    </row>
    <row r="35" spans="1:5" ht="24" customHeight="1" x14ac:dyDescent="0.25">
      <c r="A35" s="18" t="s">
        <v>58</v>
      </c>
      <c r="B35" s="19" t="s">
        <v>80</v>
      </c>
      <c r="C35" s="9" t="s">
        <v>81</v>
      </c>
      <c r="D35" s="9"/>
      <c r="E35" s="9"/>
    </row>
    <row r="36" spans="1:5" ht="24" customHeight="1" x14ac:dyDescent="0.25">
      <c r="A36" s="18" t="s">
        <v>61</v>
      </c>
      <c r="B36" s="19" t="s">
        <v>82</v>
      </c>
      <c r="C36" s="9" t="s">
        <v>83</v>
      </c>
      <c r="D36" s="9"/>
      <c r="E36" s="9"/>
    </row>
    <row r="37" spans="1:5" ht="24" customHeight="1" x14ac:dyDescent="0.25">
      <c r="A37" s="18" t="s">
        <v>64</v>
      </c>
      <c r="B37" s="19" t="s">
        <v>84</v>
      </c>
      <c r="C37" s="9" t="s">
        <v>85</v>
      </c>
      <c r="D37" s="9"/>
      <c r="E37" s="9"/>
    </row>
    <row r="38" spans="1:5" ht="24" customHeight="1" x14ac:dyDescent="0.25">
      <c r="A38" s="18" t="s">
        <v>76</v>
      </c>
      <c r="B38" s="19" t="s">
        <v>86</v>
      </c>
      <c r="C38" s="9" t="s">
        <v>87</v>
      </c>
      <c r="D38" s="9"/>
      <c r="E38" s="9"/>
    </row>
    <row r="39" spans="1:5" ht="24" customHeight="1" x14ac:dyDescent="0.25">
      <c r="A39" s="18" t="s">
        <v>88</v>
      </c>
      <c r="B39" s="19" t="s">
        <v>89</v>
      </c>
      <c r="C39" s="9" t="s">
        <v>90</v>
      </c>
      <c r="D39" s="9"/>
      <c r="E39" s="9"/>
    </row>
    <row r="41" spans="1:5" x14ac:dyDescent="0.25">
      <c r="A41" s="10" t="s">
        <v>91</v>
      </c>
      <c r="B41" s="10"/>
      <c r="C41" s="10"/>
      <c r="D41" s="10"/>
      <c r="E41" s="10"/>
    </row>
    <row r="42" spans="1:5" ht="24" customHeight="1" x14ac:dyDescent="0.25">
      <c r="A42" s="18" t="s">
        <v>55</v>
      </c>
      <c r="B42" s="19" t="s">
        <v>92</v>
      </c>
      <c r="C42" s="9" t="s">
        <v>93</v>
      </c>
      <c r="D42" s="9"/>
      <c r="E42" s="9"/>
    </row>
    <row r="43" spans="1:5" ht="24" customHeight="1" x14ac:dyDescent="0.25">
      <c r="A43" s="18" t="s">
        <v>58</v>
      </c>
      <c r="B43" s="19" t="s">
        <v>94</v>
      </c>
      <c r="C43" s="9" t="s">
        <v>95</v>
      </c>
      <c r="D43" s="9"/>
      <c r="E43" s="9"/>
    </row>
    <row r="44" spans="1:5" ht="24" customHeight="1" x14ac:dyDescent="0.25">
      <c r="A44" s="18" t="s">
        <v>61</v>
      </c>
      <c r="B44" s="19" t="s">
        <v>96</v>
      </c>
      <c r="C44" s="9" t="s">
        <v>97</v>
      </c>
      <c r="D44" s="9"/>
      <c r="E44" s="9"/>
    </row>
    <row r="45" spans="1:5" ht="24" customHeight="1" x14ac:dyDescent="0.25">
      <c r="A45" s="18" t="s">
        <v>64</v>
      </c>
      <c r="B45" s="19" t="s">
        <v>98</v>
      </c>
      <c r="C45" s="9" t="s">
        <v>99</v>
      </c>
      <c r="D45" s="9"/>
      <c r="E45" s="9"/>
    </row>
    <row r="46" spans="1:5" ht="24" customHeight="1" x14ac:dyDescent="0.25">
      <c r="A46" s="18" t="s">
        <v>76</v>
      </c>
      <c r="B46" s="19" t="s">
        <v>100</v>
      </c>
      <c r="C46" s="9" t="s">
        <v>101</v>
      </c>
      <c r="D46" s="9"/>
      <c r="E46" s="9"/>
    </row>
    <row r="48" spans="1:5" x14ac:dyDescent="0.25">
      <c r="A48" s="10" t="s">
        <v>102</v>
      </c>
      <c r="B48" s="10"/>
      <c r="C48" s="10"/>
      <c r="D48" s="10"/>
      <c r="E48" s="10"/>
    </row>
    <row r="49" spans="1:5" ht="24" customHeight="1" x14ac:dyDescent="0.25">
      <c r="A49" s="18" t="s">
        <v>55</v>
      </c>
      <c r="B49" s="19" t="s">
        <v>103</v>
      </c>
      <c r="C49" s="9" t="s">
        <v>104</v>
      </c>
      <c r="D49" s="9"/>
      <c r="E49" s="9"/>
    </row>
    <row r="50" spans="1:5" ht="24" customHeight="1" x14ac:dyDescent="0.25">
      <c r="A50" s="18" t="s">
        <v>58</v>
      </c>
      <c r="B50" s="19" t="s">
        <v>105</v>
      </c>
      <c r="C50" s="9" t="s">
        <v>106</v>
      </c>
      <c r="D50" s="9"/>
      <c r="E50" s="9"/>
    </row>
    <row r="51" spans="1:5" ht="24" customHeight="1" x14ac:dyDescent="0.25">
      <c r="A51" s="18" t="s">
        <v>61</v>
      </c>
      <c r="B51" s="19" t="s">
        <v>107</v>
      </c>
      <c r="C51" s="9" t="s">
        <v>108</v>
      </c>
      <c r="D51" s="9"/>
      <c r="E51" s="9"/>
    </row>
    <row r="52" spans="1:5" ht="24" customHeight="1" x14ac:dyDescent="0.25">
      <c r="A52" s="18" t="s">
        <v>64</v>
      </c>
      <c r="B52" s="19" t="s">
        <v>109</v>
      </c>
      <c r="C52" s="9" t="s">
        <v>110</v>
      </c>
      <c r="D52" s="9"/>
      <c r="E52" s="9"/>
    </row>
    <row r="54" spans="1:5" x14ac:dyDescent="0.25">
      <c r="A54" s="10" t="s">
        <v>111</v>
      </c>
      <c r="B54" s="10"/>
      <c r="C54" s="10"/>
      <c r="D54" s="10"/>
      <c r="E54" s="10"/>
    </row>
    <row r="55" spans="1:5" ht="24" customHeight="1" x14ac:dyDescent="0.25">
      <c r="A55" s="18" t="s">
        <v>55</v>
      </c>
      <c r="B55" s="19" t="s">
        <v>103</v>
      </c>
      <c r="C55" s="9" t="s">
        <v>112</v>
      </c>
      <c r="D55" s="9"/>
      <c r="E55" s="9"/>
    </row>
    <row r="56" spans="1:5" ht="24" customHeight="1" x14ac:dyDescent="0.25">
      <c r="A56" s="18" t="s">
        <v>58</v>
      </c>
      <c r="B56" s="19" t="s">
        <v>113</v>
      </c>
      <c r="C56" s="9" t="s">
        <v>114</v>
      </c>
      <c r="D56" s="9"/>
      <c r="E56" s="9"/>
    </row>
    <row r="57" spans="1:5" ht="24" customHeight="1" x14ac:dyDescent="0.25">
      <c r="A57" s="18" t="s">
        <v>61</v>
      </c>
      <c r="B57" s="19" t="s">
        <v>115</v>
      </c>
      <c r="C57" s="9" t="s">
        <v>116</v>
      </c>
      <c r="D57" s="9"/>
      <c r="E57" s="9"/>
    </row>
    <row r="58" spans="1:5" ht="24" customHeight="1" x14ac:dyDescent="0.25">
      <c r="A58" s="18" t="s">
        <v>64</v>
      </c>
      <c r="B58" s="19" t="s">
        <v>84</v>
      </c>
      <c r="C58" s="9" t="s">
        <v>117</v>
      </c>
      <c r="D58" s="9"/>
      <c r="E58" s="9"/>
    </row>
    <row r="59" spans="1:5" ht="24" customHeight="1" x14ac:dyDescent="0.25">
      <c r="A59" s="18" t="s">
        <v>76</v>
      </c>
      <c r="B59" s="19" t="s">
        <v>118</v>
      </c>
      <c r="C59" s="9" t="s">
        <v>119</v>
      </c>
      <c r="D59" s="9"/>
      <c r="E59" s="9"/>
    </row>
    <row r="60" spans="1:5" ht="24" customHeight="1" x14ac:dyDescent="0.25">
      <c r="A60" s="18" t="s">
        <v>88</v>
      </c>
      <c r="B60" s="19" t="s">
        <v>89</v>
      </c>
      <c r="C60" s="9" t="s">
        <v>120</v>
      </c>
      <c r="D60" s="9"/>
      <c r="E60" s="9"/>
    </row>
    <row r="62" spans="1:5" ht="19.5" customHeight="1" x14ac:dyDescent="0.25">
      <c r="A62" s="12" t="s">
        <v>121</v>
      </c>
      <c r="B62" s="12"/>
      <c r="C62" s="12"/>
      <c r="D62" s="12"/>
      <c r="E62" s="12"/>
    </row>
    <row r="63" spans="1:5" ht="18" customHeight="1" x14ac:dyDescent="0.25">
      <c r="A63" s="8" t="s">
        <v>122</v>
      </c>
      <c r="B63" s="8"/>
      <c r="C63" s="8"/>
      <c r="D63" s="8"/>
      <c r="E63" s="8"/>
    </row>
    <row r="64" spans="1:5" ht="18" customHeight="1" x14ac:dyDescent="0.25">
      <c r="A64" s="8" t="s">
        <v>123</v>
      </c>
      <c r="B64" s="8"/>
      <c r="C64" s="8"/>
      <c r="D64" s="8"/>
      <c r="E64" s="8"/>
    </row>
    <row r="65" spans="1:5" ht="18" customHeight="1" x14ac:dyDescent="0.25">
      <c r="A65" s="8" t="s">
        <v>124</v>
      </c>
      <c r="B65" s="8"/>
      <c r="C65" s="8"/>
      <c r="D65" s="8"/>
      <c r="E65" s="8"/>
    </row>
    <row r="66" spans="1:5" ht="18" customHeight="1" x14ac:dyDescent="0.25">
      <c r="A66" s="8" t="s">
        <v>125</v>
      </c>
      <c r="B66" s="8"/>
      <c r="C66" s="8"/>
      <c r="D66" s="8"/>
      <c r="E66" s="8"/>
    </row>
    <row r="67" spans="1:5" ht="18" customHeight="1" x14ac:dyDescent="0.25">
      <c r="A67" s="8" t="s">
        <v>126</v>
      </c>
      <c r="B67" s="8"/>
      <c r="C67" s="8"/>
      <c r="D67" s="8"/>
      <c r="E67" s="8"/>
    </row>
    <row r="68" spans="1:5" ht="18" customHeight="1" x14ac:dyDescent="0.25">
      <c r="A68" s="8" t="s">
        <v>127</v>
      </c>
      <c r="B68" s="8"/>
      <c r="C68" s="8"/>
      <c r="D68" s="8"/>
      <c r="E68" s="8"/>
    </row>
    <row r="70" spans="1:5" ht="33.75" customHeight="1" x14ac:dyDescent="0.25">
      <c r="A70" s="7" t="s">
        <v>128</v>
      </c>
      <c r="B70" s="7"/>
      <c r="C70" s="7"/>
      <c r="D70" s="7"/>
      <c r="E70" s="7"/>
    </row>
  </sheetData>
  <mergeCells count="50">
    <mergeCell ref="A65:E65"/>
    <mergeCell ref="A66:E66"/>
    <mergeCell ref="A67:E67"/>
    <mergeCell ref="A68:E68"/>
    <mergeCell ref="A70:E70"/>
    <mergeCell ref="C59:E59"/>
    <mergeCell ref="C60:E60"/>
    <mergeCell ref="A62:E62"/>
    <mergeCell ref="A63:E63"/>
    <mergeCell ref="A64:E64"/>
    <mergeCell ref="A54:E54"/>
    <mergeCell ref="C55:E55"/>
    <mergeCell ref="C56:E56"/>
    <mergeCell ref="C57:E57"/>
    <mergeCell ref="C58:E58"/>
    <mergeCell ref="A48:E48"/>
    <mergeCell ref="C49:E49"/>
    <mergeCell ref="C50:E50"/>
    <mergeCell ref="C51:E51"/>
    <mergeCell ref="C52:E52"/>
    <mergeCell ref="C42:E42"/>
    <mergeCell ref="C43:E43"/>
    <mergeCell ref="C44:E44"/>
    <mergeCell ref="C45:E45"/>
    <mergeCell ref="C46:E46"/>
    <mergeCell ref="C36:E36"/>
    <mergeCell ref="C37:E37"/>
    <mergeCell ref="C38:E38"/>
    <mergeCell ref="C39:E39"/>
    <mergeCell ref="A41:E41"/>
    <mergeCell ref="C30:E30"/>
    <mergeCell ref="C31:E31"/>
    <mergeCell ref="C32:E32"/>
    <mergeCell ref="A34:E34"/>
    <mergeCell ref="C35:E35"/>
    <mergeCell ref="C24:E24"/>
    <mergeCell ref="C25:E25"/>
    <mergeCell ref="A27:E27"/>
    <mergeCell ref="C28:E28"/>
    <mergeCell ref="C29:E29"/>
    <mergeCell ref="A8:E8"/>
    <mergeCell ref="A20:E20"/>
    <mergeCell ref="A21:E21"/>
    <mergeCell ref="C22:E22"/>
    <mergeCell ref="C23:E23"/>
    <mergeCell ref="A1:E1"/>
    <mergeCell ref="A2:E2"/>
    <mergeCell ref="A4:E4"/>
    <mergeCell ref="A5:E5"/>
    <mergeCell ref="A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M39"/>
  <sheetViews>
    <sheetView showGridLines="0" zoomScaleNormal="100" workbookViewId="0">
      <pane ySplit="4" topLeftCell="A17" activePane="bottomLeft" state="frozen"/>
      <selection pane="bottomLeft" sqref="A1:I1"/>
    </sheetView>
  </sheetViews>
  <sheetFormatPr defaultColWidth="8.7109375" defaultRowHeight="15" x14ac:dyDescent="0.25"/>
  <cols>
    <col min="1" max="1" width="9" customWidth="1"/>
    <col min="2" max="2" width="48" customWidth="1"/>
    <col min="3" max="3" width="56" customWidth="1"/>
    <col min="4" max="4" width="23" customWidth="1"/>
    <col min="5" max="5" width="8" customWidth="1"/>
    <col min="6" max="6" width="23" customWidth="1"/>
    <col min="7" max="7" width="10" customWidth="1"/>
    <col min="8" max="8" width="7" customWidth="1"/>
    <col min="9" max="9" width="36" customWidth="1"/>
    <col min="10" max="10" width="3" customWidth="1"/>
    <col min="11" max="11" width="34" customWidth="1"/>
    <col min="12" max="13" width="11" customWidth="1"/>
  </cols>
  <sheetData>
    <row r="1" spans="1:13" ht="30" customHeight="1" x14ac:dyDescent="0.25">
      <c r="A1" s="14" t="s">
        <v>129</v>
      </c>
      <c r="B1" s="14"/>
      <c r="C1" s="14"/>
      <c r="D1" s="14"/>
      <c r="E1" s="14"/>
      <c r="F1" s="14"/>
      <c r="G1" s="14"/>
      <c r="H1" s="14"/>
      <c r="I1" s="14"/>
    </row>
    <row r="2" spans="1:13" ht="18" customHeight="1" x14ac:dyDescent="0.25">
      <c r="A2" s="13" t="s">
        <v>130</v>
      </c>
      <c r="B2" s="13"/>
      <c r="C2" s="13"/>
      <c r="D2" s="13"/>
      <c r="E2" s="13"/>
      <c r="F2" s="13"/>
      <c r="G2" s="13"/>
      <c r="H2" s="13"/>
      <c r="I2" s="13"/>
    </row>
    <row r="3" spans="1:13" ht="27.75" customHeight="1" x14ac:dyDescent="0.25">
      <c r="A3" s="8" t="s">
        <v>131</v>
      </c>
      <c r="B3" s="8"/>
      <c r="C3" s="8"/>
      <c r="D3" s="8"/>
      <c r="E3" s="8"/>
      <c r="F3" s="8"/>
      <c r="G3" s="8"/>
      <c r="H3" s="8"/>
      <c r="I3" s="8"/>
    </row>
    <row r="4" spans="1:13" ht="27.75" customHeight="1" x14ac:dyDescent="0.25">
      <c r="A4" s="20" t="s">
        <v>132</v>
      </c>
      <c r="B4" s="20" t="s">
        <v>133</v>
      </c>
      <c r="C4" s="20" t="s">
        <v>134</v>
      </c>
      <c r="D4" s="20" t="s">
        <v>135</v>
      </c>
      <c r="E4" s="20" t="s">
        <v>136</v>
      </c>
      <c r="F4" s="20" t="s">
        <v>137</v>
      </c>
      <c r="G4" s="20" t="s">
        <v>138</v>
      </c>
      <c r="H4" s="20" t="s">
        <v>139</v>
      </c>
      <c r="I4" s="20" t="s">
        <v>140</v>
      </c>
      <c r="K4" s="6" t="s">
        <v>141</v>
      </c>
      <c r="L4" s="6"/>
      <c r="M4" s="6"/>
    </row>
    <row r="5" spans="1:13" ht="19.5" customHeight="1" x14ac:dyDescent="0.25">
      <c r="A5" s="5" t="s">
        <v>142</v>
      </c>
      <c r="B5" s="5"/>
      <c r="C5" s="5"/>
      <c r="D5" s="5"/>
      <c r="E5" s="5"/>
      <c r="F5" s="5"/>
      <c r="G5" s="5"/>
      <c r="H5" s="5"/>
      <c r="I5" s="5"/>
      <c r="K5" s="21" t="s">
        <v>143</v>
      </c>
      <c r="L5" s="21" t="s">
        <v>144</v>
      </c>
      <c r="M5" s="21" t="s">
        <v>145</v>
      </c>
    </row>
    <row r="6" spans="1:13" ht="42" customHeight="1" x14ac:dyDescent="0.25">
      <c r="A6" s="22" t="s">
        <v>146</v>
      </c>
      <c r="B6" s="16" t="s">
        <v>147</v>
      </c>
      <c r="C6" s="23" t="s">
        <v>148</v>
      </c>
      <c r="D6" s="24"/>
      <c r="E6" s="25" t="str">
        <f>IF($D6="","",VALUE(LEFT($D6,1)))</f>
        <v/>
      </c>
      <c r="F6" s="24"/>
      <c r="G6" s="25" t="str">
        <f>IF($F6="","",VALUE(LEFT($F6,1)))</f>
        <v/>
      </c>
      <c r="H6" s="25" t="str">
        <f>IF(OR($E6="",$G6=""),"",$G6-$E6)</f>
        <v/>
      </c>
      <c r="I6" s="16"/>
      <c r="K6" s="26" t="s">
        <v>149</v>
      </c>
      <c r="L6" s="27">
        <f>IFERROR(AVERAGE($E$6:$E$8)/3,0)</f>
        <v>0</v>
      </c>
      <c r="M6" s="27">
        <f>IFERROR(AVERAGE($G$6:$G$8)/3,0)</f>
        <v>0</v>
      </c>
    </row>
    <row r="7" spans="1:13" ht="42" customHeight="1" x14ac:dyDescent="0.25">
      <c r="A7" s="28" t="s">
        <v>150</v>
      </c>
      <c r="B7" s="17" t="s">
        <v>151</v>
      </c>
      <c r="C7" s="29" t="s">
        <v>152</v>
      </c>
      <c r="D7" s="30"/>
      <c r="E7" s="31" t="str">
        <f>IF($D7="","",VALUE(LEFT($D7,1)))</f>
        <v/>
      </c>
      <c r="F7" s="30"/>
      <c r="G7" s="31" t="str">
        <f>IF($F7="","",VALUE(LEFT($F7,1)))</f>
        <v/>
      </c>
      <c r="H7" s="31" t="str">
        <f>IF(OR($E7="",$G7=""),"",$G7-$E7)</f>
        <v/>
      </c>
      <c r="I7" s="17"/>
      <c r="K7" s="26" t="s">
        <v>153</v>
      </c>
      <c r="L7" s="27">
        <f>IFERROR(AVERAGE($E$10:$E$11)/3,0)</f>
        <v>0</v>
      </c>
      <c r="M7" s="27">
        <f>IFERROR(AVERAGE($G$10:$G$11)/3,0)</f>
        <v>0</v>
      </c>
    </row>
    <row r="8" spans="1:13" ht="42" customHeight="1" x14ac:dyDescent="0.25">
      <c r="A8" s="22" t="s">
        <v>154</v>
      </c>
      <c r="B8" s="16" t="s">
        <v>155</v>
      </c>
      <c r="C8" s="23" t="s">
        <v>156</v>
      </c>
      <c r="D8" s="24"/>
      <c r="E8" s="25" t="str">
        <f>IF($D8="","",VALUE(LEFT($D8,1)))</f>
        <v/>
      </c>
      <c r="F8" s="24"/>
      <c r="G8" s="25" t="str">
        <f>IF($F8="","",VALUE(LEFT($F8,1)))</f>
        <v/>
      </c>
      <c r="H8" s="25" t="str">
        <f>IF(OR($E8="",$G8=""),"",$G8-$E8)</f>
        <v/>
      </c>
      <c r="I8" s="16"/>
      <c r="K8" s="26" t="s">
        <v>157</v>
      </c>
      <c r="L8" s="27">
        <f>IFERROR(AVERAGE($E$13:$E$15)/3,0)</f>
        <v>0</v>
      </c>
      <c r="M8" s="27">
        <f>IFERROR(AVERAGE($G$13:$G$15)/3,0)</f>
        <v>0</v>
      </c>
    </row>
    <row r="9" spans="1:13" ht="19.5" customHeight="1" x14ac:dyDescent="0.25">
      <c r="A9" s="5" t="s">
        <v>158</v>
      </c>
      <c r="B9" s="5"/>
      <c r="C9" s="5"/>
      <c r="D9" s="5"/>
      <c r="E9" s="5"/>
      <c r="F9" s="5"/>
      <c r="G9" s="5"/>
      <c r="H9" s="5"/>
      <c r="I9" s="5"/>
      <c r="K9" s="26" t="s">
        <v>159</v>
      </c>
      <c r="L9" s="27">
        <f>IFERROR(AVERAGE($E$17:$E$18)/3,0)</f>
        <v>0</v>
      </c>
      <c r="M9" s="27">
        <f>IFERROR(AVERAGE($G$17:$G$18)/3,0)</f>
        <v>0</v>
      </c>
    </row>
    <row r="10" spans="1:13" ht="42" customHeight="1" x14ac:dyDescent="0.25">
      <c r="A10" s="28" t="s">
        <v>160</v>
      </c>
      <c r="B10" s="17" t="s">
        <v>161</v>
      </c>
      <c r="C10" s="29" t="s">
        <v>162</v>
      </c>
      <c r="D10" s="30"/>
      <c r="E10" s="31" t="str">
        <f>IF($D10="","",VALUE(LEFT($D10,1)))</f>
        <v/>
      </c>
      <c r="F10" s="30"/>
      <c r="G10" s="31" t="str">
        <f>IF($F10="","",VALUE(LEFT($F10,1)))</f>
        <v/>
      </c>
      <c r="H10" s="31" t="str">
        <f>IF(OR($E10="",$G10=""),"",$G10-$E10)</f>
        <v/>
      </c>
      <c r="I10" s="17"/>
      <c r="K10" s="26" t="s">
        <v>163</v>
      </c>
      <c r="L10" s="27">
        <f>IFERROR(AVERAGE($E$20:$E$21)/3,0)</f>
        <v>0</v>
      </c>
      <c r="M10" s="27">
        <f>IFERROR(AVERAGE($G$20:$G$21)/3,0)</f>
        <v>0</v>
      </c>
    </row>
    <row r="11" spans="1:13" ht="42" customHeight="1" x14ac:dyDescent="0.25">
      <c r="A11" s="22" t="s">
        <v>164</v>
      </c>
      <c r="B11" s="16" t="s">
        <v>165</v>
      </c>
      <c r="C11" s="23" t="s">
        <v>166</v>
      </c>
      <c r="D11" s="24"/>
      <c r="E11" s="25" t="str">
        <f>IF($D11="","",VALUE(LEFT($D11,1)))</f>
        <v/>
      </c>
      <c r="F11" s="24"/>
      <c r="G11" s="25" t="str">
        <f>IF($F11="","",VALUE(LEFT($F11,1)))</f>
        <v/>
      </c>
      <c r="H11" s="25" t="str">
        <f>IF(OR($E11="",$G11=""),"",$G11-$E11)</f>
        <v/>
      </c>
      <c r="I11" s="16"/>
      <c r="K11" s="26" t="s">
        <v>167</v>
      </c>
      <c r="L11" s="27">
        <f>IFERROR(AVERAGE($E$23:$E$24)/3,0)</f>
        <v>0</v>
      </c>
      <c r="M11" s="27">
        <f>IFERROR(AVERAGE($G$23:$G$24)/3,0)</f>
        <v>0</v>
      </c>
    </row>
    <row r="12" spans="1:13" ht="19.5" customHeight="1" x14ac:dyDescent="0.25">
      <c r="A12" s="5" t="s">
        <v>168</v>
      </c>
      <c r="B12" s="5"/>
      <c r="C12" s="5"/>
      <c r="D12" s="5"/>
      <c r="E12" s="5"/>
      <c r="F12" s="5"/>
      <c r="G12" s="5"/>
      <c r="H12" s="5"/>
      <c r="I12" s="5"/>
      <c r="K12" s="26" t="s">
        <v>169</v>
      </c>
      <c r="L12" s="27">
        <f>IFERROR(AVERAGE($E$26:$E$27)/3,0)</f>
        <v>0</v>
      </c>
      <c r="M12" s="27">
        <f>IFERROR(AVERAGE($G$26:$G$27)/3,0)</f>
        <v>0</v>
      </c>
    </row>
    <row r="13" spans="1:13" ht="42" customHeight="1" x14ac:dyDescent="0.25">
      <c r="A13" s="28" t="s">
        <v>170</v>
      </c>
      <c r="B13" s="17" t="s">
        <v>171</v>
      </c>
      <c r="C13" s="29" t="s">
        <v>172</v>
      </c>
      <c r="D13" s="30"/>
      <c r="E13" s="31" t="str">
        <f>IF($D13="","",VALUE(LEFT($D13,1)))</f>
        <v/>
      </c>
      <c r="F13" s="30"/>
      <c r="G13" s="31" t="str">
        <f>IF($F13="","",VALUE(LEFT($F13,1)))</f>
        <v/>
      </c>
      <c r="H13" s="31" t="str">
        <f>IF(OR($E13="",$G13=""),"",$G13-$E13)</f>
        <v/>
      </c>
      <c r="I13" s="17"/>
      <c r="K13" s="26" t="s">
        <v>173</v>
      </c>
      <c r="L13" s="27">
        <f>IFERROR(AVERAGE($E$29:$E$30)/3,0)</f>
        <v>0</v>
      </c>
      <c r="M13" s="27">
        <f>IFERROR(AVERAGE($G$29:$G$30)/3,0)</f>
        <v>0</v>
      </c>
    </row>
    <row r="14" spans="1:13" ht="42" customHeight="1" x14ac:dyDescent="0.25">
      <c r="A14" s="22" t="s">
        <v>174</v>
      </c>
      <c r="B14" s="16" t="s">
        <v>175</v>
      </c>
      <c r="C14" s="23" t="s">
        <v>176</v>
      </c>
      <c r="D14" s="24"/>
      <c r="E14" s="25" t="str">
        <f>IF($D14="","",VALUE(LEFT($D14,1)))</f>
        <v/>
      </c>
      <c r="F14" s="24"/>
      <c r="G14" s="25" t="str">
        <f>IF($F14="","",VALUE(LEFT($F14,1)))</f>
        <v/>
      </c>
      <c r="H14" s="25" t="str">
        <f>IF(OR($E14="",$G14=""),"",$G14-$E14)</f>
        <v/>
      </c>
      <c r="I14" s="16"/>
      <c r="K14" s="26" t="s">
        <v>177</v>
      </c>
      <c r="L14" s="27">
        <f>IFERROR(AVERAGE($E$32:$E$33)/3,0)</f>
        <v>0</v>
      </c>
      <c r="M14" s="27">
        <f>IFERROR(AVERAGE($G$32:$G$33)/3,0)</f>
        <v>0</v>
      </c>
    </row>
    <row r="15" spans="1:13" ht="42" customHeight="1" x14ac:dyDescent="0.25">
      <c r="A15" s="28" t="s">
        <v>178</v>
      </c>
      <c r="B15" s="17" t="s">
        <v>179</v>
      </c>
      <c r="C15" s="29" t="s">
        <v>180</v>
      </c>
      <c r="D15" s="30"/>
      <c r="E15" s="31" t="str">
        <f>IF($D15="","",VALUE(LEFT($D15,1)))</f>
        <v/>
      </c>
      <c r="F15" s="30"/>
      <c r="G15" s="31" t="str">
        <f>IF($F15="","",VALUE(LEFT($F15,1)))</f>
        <v/>
      </c>
      <c r="H15" s="31" t="str">
        <f>IF(OR($E15="",$G15=""),"",$G15-$E15)</f>
        <v/>
      </c>
      <c r="I15" s="17"/>
      <c r="K15" s="26" t="s">
        <v>181</v>
      </c>
      <c r="L15" s="27">
        <f>IFERROR(AVERAGE($E$35:$E$36)/3,0)</f>
        <v>0</v>
      </c>
      <c r="M15" s="27">
        <f>IFERROR(AVERAGE($G$35:$G$36)/3,0)</f>
        <v>0</v>
      </c>
    </row>
    <row r="16" spans="1:13" ht="19.5" customHeight="1" x14ac:dyDescent="0.25">
      <c r="A16" s="5" t="s">
        <v>182</v>
      </c>
      <c r="B16" s="5"/>
      <c r="C16" s="5"/>
      <c r="D16" s="5"/>
      <c r="E16" s="5"/>
      <c r="F16" s="5"/>
      <c r="G16" s="5"/>
      <c r="H16" s="5"/>
      <c r="I16" s="5"/>
      <c r="K16" s="26" t="s">
        <v>183</v>
      </c>
      <c r="L16" s="27">
        <f>IFERROR(AVERAGE($E$38:$E$39)/3,0)</f>
        <v>0</v>
      </c>
      <c r="M16" s="27">
        <f>IFERROR(AVERAGE($G$38:$G$39)/3,0)</f>
        <v>0</v>
      </c>
    </row>
    <row r="17" spans="1:9" ht="42" customHeight="1" x14ac:dyDescent="0.25">
      <c r="A17" s="22" t="s">
        <v>184</v>
      </c>
      <c r="B17" s="16" t="s">
        <v>185</v>
      </c>
      <c r="C17" s="23" t="s">
        <v>186</v>
      </c>
      <c r="D17" s="24"/>
      <c r="E17" s="25" t="str">
        <f>IF($D17="","",VALUE(LEFT($D17,1)))</f>
        <v/>
      </c>
      <c r="F17" s="24"/>
      <c r="G17" s="25" t="str">
        <f>IF($F17="","",VALUE(LEFT($F17,1)))</f>
        <v/>
      </c>
      <c r="H17" s="25" t="str">
        <f>IF(OR($E17="",$G17=""),"",$G17-$E17)</f>
        <v/>
      </c>
      <c r="I17" s="16"/>
    </row>
    <row r="18" spans="1:9" ht="42" customHeight="1" x14ac:dyDescent="0.25">
      <c r="A18" s="28" t="s">
        <v>187</v>
      </c>
      <c r="B18" s="17" t="s">
        <v>188</v>
      </c>
      <c r="C18" s="29" t="s">
        <v>189</v>
      </c>
      <c r="D18" s="30"/>
      <c r="E18" s="31" t="str">
        <f>IF($D18="","",VALUE(LEFT($D18,1)))</f>
        <v/>
      </c>
      <c r="F18" s="30"/>
      <c r="G18" s="31" t="str">
        <f>IF($F18="","",VALUE(LEFT($F18,1)))</f>
        <v/>
      </c>
      <c r="H18" s="31" t="str">
        <f>IF(OR($E18="",$G18=""),"",$G18-$E18)</f>
        <v/>
      </c>
      <c r="I18" s="17"/>
    </row>
    <row r="19" spans="1:9" ht="19.5" customHeight="1" x14ac:dyDescent="0.25">
      <c r="A19" s="5" t="s">
        <v>190</v>
      </c>
      <c r="B19" s="5"/>
      <c r="C19" s="5"/>
      <c r="D19" s="5"/>
      <c r="E19" s="5"/>
      <c r="F19" s="5"/>
      <c r="G19" s="5"/>
      <c r="H19" s="5"/>
      <c r="I19" s="5"/>
    </row>
    <row r="20" spans="1:9" ht="42" customHeight="1" x14ac:dyDescent="0.25">
      <c r="A20" s="22" t="s">
        <v>191</v>
      </c>
      <c r="B20" s="16" t="s">
        <v>192</v>
      </c>
      <c r="C20" s="23" t="s">
        <v>193</v>
      </c>
      <c r="D20" s="24"/>
      <c r="E20" s="25" t="str">
        <f>IF($D20="","",VALUE(LEFT($D20,1)))</f>
        <v/>
      </c>
      <c r="F20" s="24"/>
      <c r="G20" s="25" t="str">
        <f>IF($F20="","",VALUE(LEFT($F20,1)))</f>
        <v/>
      </c>
      <c r="H20" s="25" t="str">
        <f>IF(OR($E20="",$G20=""),"",$G20-$E20)</f>
        <v/>
      </c>
      <c r="I20" s="16"/>
    </row>
    <row r="21" spans="1:9" ht="42" customHeight="1" x14ac:dyDescent="0.25">
      <c r="A21" s="28" t="s">
        <v>194</v>
      </c>
      <c r="B21" s="17" t="s">
        <v>195</v>
      </c>
      <c r="C21" s="29" t="s">
        <v>196</v>
      </c>
      <c r="D21" s="30"/>
      <c r="E21" s="31" t="str">
        <f>IF($D21="","",VALUE(LEFT($D21,1)))</f>
        <v/>
      </c>
      <c r="F21" s="30"/>
      <c r="G21" s="31" t="str">
        <f>IF($F21="","",VALUE(LEFT($F21,1)))</f>
        <v/>
      </c>
      <c r="H21" s="31" t="str">
        <f>IF(OR($E21="",$G21=""),"",$G21-$E21)</f>
        <v/>
      </c>
      <c r="I21" s="17"/>
    </row>
    <row r="22" spans="1:9" ht="19.5" customHeight="1" x14ac:dyDescent="0.25">
      <c r="A22" s="5" t="s">
        <v>197</v>
      </c>
      <c r="B22" s="5"/>
      <c r="C22" s="5"/>
      <c r="D22" s="5"/>
      <c r="E22" s="5"/>
      <c r="F22" s="5"/>
      <c r="G22" s="5"/>
      <c r="H22" s="5"/>
      <c r="I22" s="5"/>
    </row>
    <row r="23" spans="1:9" ht="42" customHeight="1" x14ac:dyDescent="0.25">
      <c r="A23" s="22" t="s">
        <v>198</v>
      </c>
      <c r="B23" s="16" t="s">
        <v>199</v>
      </c>
      <c r="C23" s="23" t="s">
        <v>200</v>
      </c>
      <c r="D23" s="24"/>
      <c r="E23" s="25" t="str">
        <f>IF($D23="","",VALUE(LEFT($D23,1)))</f>
        <v/>
      </c>
      <c r="F23" s="24"/>
      <c r="G23" s="25" t="str">
        <f>IF($F23="","",VALUE(LEFT($F23,1)))</f>
        <v/>
      </c>
      <c r="H23" s="25" t="str">
        <f>IF(OR($E23="",$G23=""),"",$G23-$E23)</f>
        <v/>
      </c>
      <c r="I23" s="16"/>
    </row>
    <row r="24" spans="1:9" ht="42" customHeight="1" x14ac:dyDescent="0.25">
      <c r="A24" s="28" t="s">
        <v>201</v>
      </c>
      <c r="B24" s="17" t="s">
        <v>202</v>
      </c>
      <c r="C24" s="29" t="s">
        <v>203</v>
      </c>
      <c r="D24" s="30"/>
      <c r="E24" s="31" t="str">
        <f>IF($D24="","",VALUE(LEFT($D24,1)))</f>
        <v/>
      </c>
      <c r="F24" s="30"/>
      <c r="G24" s="31" t="str">
        <f>IF($F24="","",VALUE(LEFT($F24,1)))</f>
        <v/>
      </c>
      <c r="H24" s="31" t="str">
        <f>IF(OR($E24="",$G24=""),"",$G24-$E24)</f>
        <v/>
      </c>
      <c r="I24" s="17"/>
    </row>
    <row r="25" spans="1:9" ht="19.5" customHeight="1" x14ac:dyDescent="0.25">
      <c r="A25" s="5" t="s">
        <v>204</v>
      </c>
      <c r="B25" s="5"/>
      <c r="C25" s="5"/>
      <c r="D25" s="5"/>
      <c r="E25" s="5"/>
      <c r="F25" s="5"/>
      <c r="G25" s="5"/>
      <c r="H25" s="5"/>
      <c r="I25" s="5"/>
    </row>
    <row r="26" spans="1:9" ht="42" customHeight="1" x14ac:dyDescent="0.25">
      <c r="A26" s="22" t="s">
        <v>205</v>
      </c>
      <c r="B26" s="16" t="s">
        <v>206</v>
      </c>
      <c r="C26" s="23" t="s">
        <v>207</v>
      </c>
      <c r="D26" s="24"/>
      <c r="E26" s="25" t="str">
        <f>IF($D26="","",VALUE(LEFT($D26,1)))</f>
        <v/>
      </c>
      <c r="F26" s="24"/>
      <c r="G26" s="25" t="str">
        <f>IF($F26="","",VALUE(LEFT($F26,1)))</f>
        <v/>
      </c>
      <c r="H26" s="25" t="str">
        <f>IF(OR($E26="",$G26=""),"",$G26-$E26)</f>
        <v/>
      </c>
      <c r="I26" s="16"/>
    </row>
    <row r="27" spans="1:9" ht="42" customHeight="1" x14ac:dyDescent="0.25">
      <c r="A27" s="28" t="s">
        <v>208</v>
      </c>
      <c r="B27" s="17" t="s">
        <v>209</v>
      </c>
      <c r="C27" s="29" t="s">
        <v>210</v>
      </c>
      <c r="D27" s="30"/>
      <c r="E27" s="31" t="str">
        <f>IF($D27="","",VALUE(LEFT($D27,1)))</f>
        <v/>
      </c>
      <c r="F27" s="30"/>
      <c r="G27" s="31" t="str">
        <f>IF($F27="","",VALUE(LEFT($F27,1)))</f>
        <v/>
      </c>
      <c r="H27" s="31" t="str">
        <f>IF(OR($E27="",$G27=""),"",$G27-$E27)</f>
        <v/>
      </c>
      <c r="I27" s="17"/>
    </row>
    <row r="28" spans="1:9" ht="19.5" customHeight="1" x14ac:dyDescent="0.25">
      <c r="A28" s="5" t="s">
        <v>211</v>
      </c>
      <c r="B28" s="5"/>
      <c r="C28" s="5"/>
      <c r="D28" s="5"/>
      <c r="E28" s="5"/>
      <c r="F28" s="5"/>
      <c r="G28" s="5"/>
      <c r="H28" s="5"/>
      <c r="I28" s="5"/>
    </row>
    <row r="29" spans="1:9" ht="42" customHeight="1" x14ac:dyDescent="0.25">
      <c r="A29" s="22" t="s">
        <v>212</v>
      </c>
      <c r="B29" s="16" t="s">
        <v>213</v>
      </c>
      <c r="C29" s="23" t="s">
        <v>214</v>
      </c>
      <c r="D29" s="24"/>
      <c r="E29" s="25" t="str">
        <f>IF($D29="","",VALUE(LEFT($D29,1)))</f>
        <v/>
      </c>
      <c r="F29" s="24"/>
      <c r="G29" s="25" t="str">
        <f>IF($F29="","",VALUE(LEFT($F29,1)))</f>
        <v/>
      </c>
      <c r="H29" s="25" t="str">
        <f>IF(OR($E29="",$G29=""),"",$G29-$E29)</f>
        <v/>
      </c>
      <c r="I29" s="16"/>
    </row>
    <row r="30" spans="1:9" ht="42" customHeight="1" x14ac:dyDescent="0.25">
      <c r="A30" s="28" t="s">
        <v>215</v>
      </c>
      <c r="B30" s="17" t="s">
        <v>216</v>
      </c>
      <c r="C30" s="29" t="s">
        <v>217</v>
      </c>
      <c r="D30" s="30"/>
      <c r="E30" s="31" t="str">
        <f>IF($D30="","",VALUE(LEFT($D30,1)))</f>
        <v/>
      </c>
      <c r="F30" s="30"/>
      <c r="G30" s="31" t="str">
        <f>IF($F30="","",VALUE(LEFT($F30,1)))</f>
        <v/>
      </c>
      <c r="H30" s="31" t="str">
        <f>IF(OR($E30="",$G30=""),"",$G30-$E30)</f>
        <v/>
      </c>
      <c r="I30" s="17"/>
    </row>
    <row r="31" spans="1:9" ht="19.5" customHeight="1" x14ac:dyDescent="0.25">
      <c r="A31" s="5" t="s">
        <v>218</v>
      </c>
      <c r="B31" s="5"/>
      <c r="C31" s="5"/>
      <c r="D31" s="5"/>
      <c r="E31" s="5"/>
      <c r="F31" s="5"/>
      <c r="G31" s="5"/>
      <c r="H31" s="5"/>
      <c r="I31" s="5"/>
    </row>
    <row r="32" spans="1:9" ht="42" customHeight="1" x14ac:dyDescent="0.25">
      <c r="A32" s="22" t="s">
        <v>219</v>
      </c>
      <c r="B32" s="16" t="s">
        <v>220</v>
      </c>
      <c r="C32" s="23" t="s">
        <v>221</v>
      </c>
      <c r="D32" s="24"/>
      <c r="E32" s="25" t="str">
        <f>IF($D32="","",VALUE(LEFT($D32,1)))</f>
        <v/>
      </c>
      <c r="F32" s="24"/>
      <c r="G32" s="25" t="str">
        <f>IF($F32="","",VALUE(LEFT($F32,1)))</f>
        <v/>
      </c>
      <c r="H32" s="25" t="str">
        <f>IF(OR($E32="",$G32=""),"",$G32-$E32)</f>
        <v/>
      </c>
      <c r="I32" s="16"/>
    </row>
    <row r="33" spans="1:9" ht="42" customHeight="1" x14ac:dyDescent="0.25">
      <c r="A33" s="28" t="s">
        <v>222</v>
      </c>
      <c r="B33" s="17" t="s">
        <v>223</v>
      </c>
      <c r="C33" s="29" t="s">
        <v>224</v>
      </c>
      <c r="D33" s="30"/>
      <c r="E33" s="31" t="str">
        <f>IF($D33="","",VALUE(LEFT($D33,1)))</f>
        <v/>
      </c>
      <c r="F33" s="30"/>
      <c r="G33" s="31" t="str">
        <f>IF($F33="","",VALUE(LEFT($F33,1)))</f>
        <v/>
      </c>
      <c r="H33" s="31" t="str">
        <f>IF(OR($E33="",$G33=""),"",$G33-$E33)</f>
        <v/>
      </c>
      <c r="I33" s="17"/>
    </row>
    <row r="34" spans="1:9" ht="19.5" customHeight="1" x14ac:dyDescent="0.25">
      <c r="A34" s="5" t="s">
        <v>225</v>
      </c>
      <c r="B34" s="5"/>
      <c r="C34" s="5"/>
      <c r="D34" s="5"/>
      <c r="E34" s="5"/>
      <c r="F34" s="5"/>
      <c r="G34" s="5"/>
      <c r="H34" s="5"/>
      <c r="I34" s="5"/>
    </row>
    <row r="35" spans="1:9" ht="42" customHeight="1" x14ac:dyDescent="0.25">
      <c r="A35" s="22" t="s">
        <v>226</v>
      </c>
      <c r="B35" s="16" t="s">
        <v>227</v>
      </c>
      <c r="C35" s="23" t="s">
        <v>228</v>
      </c>
      <c r="D35" s="24"/>
      <c r="E35" s="25" t="str">
        <f>IF($D35="","",VALUE(LEFT($D35,1)))</f>
        <v/>
      </c>
      <c r="F35" s="24"/>
      <c r="G35" s="25" t="str">
        <f>IF($F35="","",VALUE(LEFT($F35,1)))</f>
        <v/>
      </c>
      <c r="H35" s="25" t="str">
        <f>IF(OR($E35="",$G35=""),"",$G35-$E35)</f>
        <v/>
      </c>
      <c r="I35" s="16"/>
    </row>
    <row r="36" spans="1:9" ht="42" customHeight="1" x14ac:dyDescent="0.25">
      <c r="A36" s="28" t="s">
        <v>229</v>
      </c>
      <c r="B36" s="17" t="s">
        <v>230</v>
      </c>
      <c r="C36" s="29" t="s">
        <v>231</v>
      </c>
      <c r="D36" s="30"/>
      <c r="E36" s="31" t="str">
        <f>IF($D36="","",VALUE(LEFT($D36,1)))</f>
        <v/>
      </c>
      <c r="F36" s="30"/>
      <c r="G36" s="31" t="str">
        <f>IF($F36="","",VALUE(LEFT($F36,1)))</f>
        <v/>
      </c>
      <c r="H36" s="31" t="str">
        <f>IF(OR($E36="",$G36=""),"",$G36-$E36)</f>
        <v/>
      </c>
      <c r="I36" s="17"/>
    </row>
    <row r="37" spans="1:9" ht="19.5" customHeight="1" x14ac:dyDescent="0.25">
      <c r="A37" s="5" t="s">
        <v>232</v>
      </c>
      <c r="B37" s="5"/>
      <c r="C37" s="5"/>
      <c r="D37" s="5"/>
      <c r="E37" s="5"/>
      <c r="F37" s="5"/>
      <c r="G37" s="5"/>
      <c r="H37" s="5"/>
      <c r="I37" s="5"/>
    </row>
    <row r="38" spans="1:9" ht="42" customHeight="1" x14ac:dyDescent="0.25">
      <c r="A38" s="22" t="s">
        <v>233</v>
      </c>
      <c r="B38" s="16" t="s">
        <v>234</v>
      </c>
      <c r="C38" s="23" t="s">
        <v>235</v>
      </c>
      <c r="D38" s="24"/>
      <c r="E38" s="25" t="str">
        <f>IF($D38="","",VALUE(LEFT($D38,1)))</f>
        <v/>
      </c>
      <c r="F38" s="24"/>
      <c r="G38" s="25" t="str">
        <f>IF($F38="","",VALUE(LEFT($F38,1)))</f>
        <v/>
      </c>
      <c r="H38" s="25" t="str">
        <f>IF(OR($E38="",$G38=""),"",$G38-$E38)</f>
        <v/>
      </c>
      <c r="I38" s="16"/>
    </row>
    <row r="39" spans="1:9" ht="42" customHeight="1" x14ac:dyDescent="0.25">
      <c r="A39" s="28" t="s">
        <v>236</v>
      </c>
      <c r="B39" s="17" t="s">
        <v>237</v>
      </c>
      <c r="C39" s="29" t="s">
        <v>238</v>
      </c>
      <c r="D39" s="30"/>
      <c r="E39" s="31" t="str">
        <f>IF($D39="","",VALUE(LEFT($D39,1)))</f>
        <v/>
      </c>
      <c r="F39" s="30"/>
      <c r="G39" s="31" t="str">
        <f>IF($F39="","",VALUE(LEFT($F39,1)))</f>
        <v/>
      </c>
      <c r="H39" s="31" t="str">
        <f>IF(OR($E39="",$G39=""),"",$G39-$E39)</f>
        <v/>
      </c>
      <c r="I39" s="17"/>
    </row>
  </sheetData>
  <mergeCells count="15">
    <mergeCell ref="A25:I25"/>
    <mergeCell ref="A28:I28"/>
    <mergeCell ref="A31:I31"/>
    <mergeCell ref="A34:I34"/>
    <mergeCell ref="A37:I37"/>
    <mergeCell ref="A9:I9"/>
    <mergeCell ref="A12:I12"/>
    <mergeCell ref="A16:I16"/>
    <mergeCell ref="A19:I19"/>
    <mergeCell ref="A22:I22"/>
    <mergeCell ref="A1:I1"/>
    <mergeCell ref="A2:I2"/>
    <mergeCell ref="A3:I3"/>
    <mergeCell ref="K4:M4"/>
    <mergeCell ref="A5:I5"/>
  </mergeCells>
  <conditionalFormatting sqref="E5:E39">
    <cfRule type="colorScale" priority="2">
      <colorScale>
        <cfvo type="num" val="0"/>
        <cfvo type="num" val="1.5"/>
        <cfvo type="num" val="3"/>
        <color rgb="FFF1948A"/>
        <color rgb="FFF7DC6F"/>
        <color rgb="FF7DCEA0"/>
      </colorScale>
    </cfRule>
  </conditionalFormatting>
  <conditionalFormatting sqref="H5:H39">
    <cfRule type="expression" dxfId="17" priority="3">
      <formula>AND(ISNUMBER($H5),$H5&gt;0)</formula>
    </cfRule>
    <cfRule type="expression" dxfId="16" priority="4">
      <formula>AND(ISNUMBER($H5),$H5&lt;=0)</formula>
    </cfRule>
  </conditionalFormatting>
  <dataValidations count="1">
    <dataValidation type="list" allowBlank="1" showErrorMessage="1" errorTitle="Valor inválido" error="Selecione um valor da lista de níveis." sqref="D6:D8 F6:F8 D10:D11 F10:F11 D13:D15 F13:F15 D17:D18 F17:F18 D20:D21 F20:F21 D23:D24 F23:F24 D26:D27 F26:F27 D29:D30 F29:F30 D32:D33 F32:F33 D35:D36 F35:F36 D38:D39 F38:F39" xr:uid="{00000000-0002-0000-0100-000000000000}">
      <formula1>"0 - CTI0 Pré-fundacional,1 - CTI1 Fundacional,2 - CTI2 Avançado,3 - CTI3 Líder"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M2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9" customWidth="1"/>
    <col min="2" max="2" width="48" customWidth="1"/>
    <col min="3" max="3" width="56" customWidth="1"/>
    <col min="4" max="4" width="23" customWidth="1"/>
    <col min="5" max="5" width="8" customWidth="1"/>
    <col min="6" max="6" width="23" customWidth="1"/>
    <col min="7" max="7" width="10" customWidth="1"/>
    <col min="8" max="8" width="7" customWidth="1"/>
    <col min="9" max="9" width="36" customWidth="1"/>
    <col min="10" max="10" width="3" customWidth="1"/>
    <col min="11" max="11" width="34" customWidth="1"/>
    <col min="12" max="13" width="11" customWidth="1"/>
  </cols>
  <sheetData>
    <row r="1" spans="1:13" ht="30" customHeight="1" x14ac:dyDescent="0.25">
      <c r="A1" s="14" t="s">
        <v>239</v>
      </c>
      <c r="B1" s="14"/>
      <c r="C1" s="14"/>
      <c r="D1" s="14"/>
      <c r="E1" s="14"/>
      <c r="F1" s="14"/>
      <c r="G1" s="14"/>
      <c r="H1" s="14"/>
      <c r="I1" s="14"/>
    </row>
    <row r="2" spans="1:13" ht="18" customHeight="1" x14ac:dyDescent="0.25">
      <c r="A2" s="13" t="s">
        <v>240</v>
      </c>
      <c r="B2" s="13"/>
      <c r="C2" s="13"/>
      <c r="D2" s="13"/>
      <c r="E2" s="13"/>
      <c r="F2" s="13"/>
      <c r="G2" s="13"/>
      <c r="H2" s="13"/>
      <c r="I2" s="13"/>
    </row>
    <row r="3" spans="1:13" ht="27.75" customHeight="1" x14ac:dyDescent="0.25">
      <c r="A3" s="8" t="s">
        <v>131</v>
      </c>
      <c r="B3" s="8"/>
      <c r="C3" s="8"/>
      <c r="D3" s="8"/>
      <c r="E3" s="8"/>
      <c r="F3" s="8"/>
      <c r="G3" s="8"/>
      <c r="H3" s="8"/>
      <c r="I3" s="8"/>
    </row>
    <row r="4" spans="1:13" ht="27.75" customHeight="1" x14ac:dyDescent="0.25">
      <c r="A4" s="20" t="s">
        <v>132</v>
      </c>
      <c r="B4" s="20" t="s">
        <v>133</v>
      </c>
      <c r="C4" s="20" t="s">
        <v>134</v>
      </c>
      <c r="D4" s="20" t="s">
        <v>135</v>
      </c>
      <c r="E4" s="20" t="s">
        <v>136</v>
      </c>
      <c r="F4" s="20" t="s">
        <v>137</v>
      </c>
      <c r="G4" s="20" t="s">
        <v>138</v>
      </c>
      <c r="H4" s="20" t="s">
        <v>139</v>
      </c>
      <c r="I4" s="20" t="s">
        <v>140</v>
      </c>
      <c r="K4" s="6" t="s">
        <v>141</v>
      </c>
      <c r="L4" s="6"/>
      <c r="M4" s="6"/>
    </row>
    <row r="5" spans="1:13" ht="19.5" customHeight="1" x14ac:dyDescent="0.25">
      <c r="A5" s="5" t="s">
        <v>241</v>
      </c>
      <c r="B5" s="5"/>
      <c r="C5" s="5"/>
      <c r="D5" s="5"/>
      <c r="E5" s="5"/>
      <c r="F5" s="5"/>
      <c r="G5" s="5"/>
      <c r="H5" s="5"/>
      <c r="I5" s="5"/>
      <c r="K5" s="21" t="s">
        <v>143</v>
      </c>
      <c r="L5" s="21" t="s">
        <v>144</v>
      </c>
      <c r="M5" s="21" t="s">
        <v>145</v>
      </c>
    </row>
    <row r="6" spans="1:13" ht="42" customHeight="1" x14ac:dyDescent="0.25">
      <c r="A6" s="22" t="s">
        <v>242</v>
      </c>
      <c r="B6" s="16" t="s">
        <v>243</v>
      </c>
      <c r="C6" s="23" t="s">
        <v>244</v>
      </c>
      <c r="D6" s="24"/>
      <c r="E6" s="25" t="str">
        <f>IF($D6="","",VALUE(LEFT($D6,1)))</f>
        <v/>
      </c>
      <c r="F6" s="24"/>
      <c r="G6" s="25" t="str">
        <f>IF($F6="","",VALUE(LEFT($F6,1)))</f>
        <v/>
      </c>
      <c r="H6" s="25" t="str">
        <f>IF(OR($E6="",$G6=""),"",$G6-$E6)</f>
        <v/>
      </c>
      <c r="I6" s="16"/>
      <c r="K6" s="26" t="s">
        <v>245</v>
      </c>
      <c r="L6" s="27">
        <f>IFERROR(AVERAGE($E$6:$E$9)/4,0)</f>
        <v>0</v>
      </c>
      <c r="M6" s="27">
        <f>IFERROR(AVERAGE($G$6:$G$9)/4,0)</f>
        <v>0</v>
      </c>
    </row>
    <row r="7" spans="1:13" ht="42" customHeight="1" x14ac:dyDescent="0.25">
      <c r="A7" s="28" t="s">
        <v>246</v>
      </c>
      <c r="B7" s="17" t="s">
        <v>247</v>
      </c>
      <c r="C7" s="29" t="s">
        <v>248</v>
      </c>
      <c r="D7" s="30"/>
      <c r="E7" s="31" t="str">
        <f>IF($D7="","",VALUE(LEFT($D7,1)))</f>
        <v/>
      </c>
      <c r="F7" s="30"/>
      <c r="G7" s="31" t="str">
        <f>IF($F7="","",VALUE(LEFT($F7,1)))</f>
        <v/>
      </c>
      <c r="H7" s="31" t="str">
        <f>IF(OR($E7="",$G7=""),"",$G7-$E7)</f>
        <v/>
      </c>
      <c r="I7" s="17"/>
      <c r="K7" s="26" t="s">
        <v>249</v>
      </c>
      <c r="L7" s="27">
        <f>IFERROR(AVERAGE($E$11:$E$14)/4,0)</f>
        <v>0</v>
      </c>
      <c r="M7" s="27">
        <f>IFERROR(AVERAGE($G$11:$G$14)/4,0)</f>
        <v>0</v>
      </c>
    </row>
    <row r="8" spans="1:13" ht="42" customHeight="1" x14ac:dyDescent="0.25">
      <c r="A8" s="22" t="s">
        <v>250</v>
      </c>
      <c r="B8" s="16" t="s">
        <v>251</v>
      </c>
      <c r="C8" s="23" t="s">
        <v>252</v>
      </c>
      <c r="D8" s="24"/>
      <c r="E8" s="25" t="str">
        <f>IF($D8="","",VALUE(LEFT($D8,1)))</f>
        <v/>
      </c>
      <c r="F8" s="24"/>
      <c r="G8" s="25" t="str">
        <f>IF($F8="","",VALUE(LEFT($F8,1)))</f>
        <v/>
      </c>
      <c r="H8" s="25" t="str">
        <f>IF(OR($E8="",$G8=""),"",$G8-$E8)</f>
        <v/>
      </c>
      <c r="I8" s="16"/>
      <c r="K8" s="26" t="s">
        <v>253</v>
      </c>
      <c r="L8" s="27">
        <f>IFERROR(AVERAGE($E$16:$E$19)/4,0)</f>
        <v>0</v>
      </c>
      <c r="M8" s="27">
        <f>IFERROR(AVERAGE($G$16:$G$19)/4,0)</f>
        <v>0</v>
      </c>
    </row>
    <row r="9" spans="1:13" ht="42" customHeight="1" x14ac:dyDescent="0.25">
      <c r="A9" s="28" t="s">
        <v>254</v>
      </c>
      <c r="B9" s="17" t="s">
        <v>255</v>
      </c>
      <c r="C9" s="29" t="s">
        <v>256</v>
      </c>
      <c r="D9" s="30"/>
      <c r="E9" s="31" t="str">
        <f>IF($D9="","",VALUE(LEFT($D9,1)))</f>
        <v/>
      </c>
      <c r="F9" s="30"/>
      <c r="G9" s="31" t="str">
        <f>IF($F9="","",VALUE(LEFT($F9,1)))</f>
        <v/>
      </c>
      <c r="H9" s="31" t="str">
        <f>IF(OR($E9="",$G9=""),"",$G9-$E9)</f>
        <v/>
      </c>
      <c r="I9" s="17"/>
      <c r="K9" s="26" t="s">
        <v>257</v>
      </c>
      <c r="L9" s="27">
        <f>IFERROR(AVERAGE($E$21:$E$22)/4,0)</f>
        <v>0</v>
      </c>
      <c r="M9" s="27">
        <f>IFERROR(AVERAGE($G$21:$G$22)/4,0)</f>
        <v>0</v>
      </c>
    </row>
    <row r="10" spans="1:13" ht="19.5" customHeight="1" x14ac:dyDescent="0.25">
      <c r="A10" s="5" t="s">
        <v>258</v>
      </c>
      <c r="B10" s="5"/>
      <c r="C10" s="5"/>
      <c r="D10" s="5"/>
      <c r="E10" s="5"/>
      <c r="F10" s="5"/>
      <c r="G10" s="5"/>
      <c r="H10" s="5"/>
      <c r="I10" s="5"/>
    </row>
    <row r="11" spans="1:13" ht="42" customHeight="1" x14ac:dyDescent="0.25">
      <c r="A11" s="22" t="s">
        <v>259</v>
      </c>
      <c r="B11" s="16" t="s">
        <v>260</v>
      </c>
      <c r="C11" s="23" t="s">
        <v>261</v>
      </c>
      <c r="D11" s="24"/>
      <c r="E11" s="25" t="str">
        <f>IF($D11="","",VALUE(LEFT($D11,1)))</f>
        <v/>
      </c>
      <c r="F11" s="24"/>
      <c r="G11" s="25" t="str">
        <f>IF($F11="","",VALUE(LEFT($F11,1)))</f>
        <v/>
      </c>
      <c r="H11" s="25" t="str">
        <f>IF(OR($E11="",$G11=""),"",$G11-$E11)</f>
        <v/>
      </c>
      <c r="I11" s="16"/>
    </row>
    <row r="12" spans="1:13" ht="42" customHeight="1" x14ac:dyDescent="0.25">
      <c r="A12" s="28" t="s">
        <v>262</v>
      </c>
      <c r="B12" s="17" t="s">
        <v>263</v>
      </c>
      <c r="C12" s="29" t="s">
        <v>264</v>
      </c>
      <c r="D12" s="30"/>
      <c r="E12" s="31" t="str">
        <f>IF($D12="","",VALUE(LEFT($D12,1)))</f>
        <v/>
      </c>
      <c r="F12" s="30"/>
      <c r="G12" s="31" t="str">
        <f>IF($F12="","",VALUE(LEFT($F12,1)))</f>
        <v/>
      </c>
      <c r="H12" s="31" t="str">
        <f>IF(OR($E12="",$G12=""),"",$G12-$E12)</f>
        <v/>
      </c>
      <c r="I12" s="17"/>
    </row>
    <row r="13" spans="1:13" ht="42" customHeight="1" x14ac:dyDescent="0.25">
      <c r="A13" s="22" t="s">
        <v>265</v>
      </c>
      <c r="B13" s="16" t="s">
        <v>266</v>
      </c>
      <c r="C13" s="23" t="s">
        <v>267</v>
      </c>
      <c r="D13" s="24"/>
      <c r="E13" s="25" t="str">
        <f>IF($D13="","",VALUE(LEFT($D13,1)))</f>
        <v/>
      </c>
      <c r="F13" s="24"/>
      <c r="G13" s="25" t="str">
        <f>IF($F13="","",VALUE(LEFT($F13,1)))</f>
        <v/>
      </c>
      <c r="H13" s="25" t="str">
        <f>IF(OR($E13="",$G13=""),"",$G13-$E13)</f>
        <v/>
      </c>
      <c r="I13" s="16"/>
    </row>
    <row r="14" spans="1:13" ht="42" customHeight="1" x14ac:dyDescent="0.25">
      <c r="A14" s="28" t="s">
        <v>268</v>
      </c>
      <c r="B14" s="17" t="s">
        <v>269</v>
      </c>
      <c r="C14" s="29" t="s">
        <v>270</v>
      </c>
      <c r="D14" s="30"/>
      <c r="E14" s="31" t="str">
        <f>IF($D14="","",VALUE(LEFT($D14,1)))</f>
        <v/>
      </c>
      <c r="F14" s="30"/>
      <c r="G14" s="31" t="str">
        <f>IF($F14="","",VALUE(LEFT($F14,1)))</f>
        <v/>
      </c>
      <c r="H14" s="31" t="str">
        <f>IF(OR($E14="",$G14=""),"",$G14-$E14)</f>
        <v/>
      </c>
      <c r="I14" s="17"/>
    </row>
    <row r="15" spans="1:13" ht="19.5" customHeight="1" x14ac:dyDescent="0.25">
      <c r="A15" s="5" t="s">
        <v>271</v>
      </c>
      <c r="B15" s="5"/>
      <c r="C15" s="5"/>
      <c r="D15" s="5"/>
      <c r="E15" s="5"/>
      <c r="F15" s="5"/>
      <c r="G15" s="5"/>
      <c r="H15" s="5"/>
      <c r="I15" s="5"/>
    </row>
    <row r="16" spans="1:13" ht="42" customHeight="1" x14ac:dyDescent="0.25">
      <c r="A16" s="22" t="s">
        <v>272</v>
      </c>
      <c r="B16" s="16" t="s">
        <v>273</v>
      </c>
      <c r="C16" s="23" t="s">
        <v>274</v>
      </c>
      <c r="D16" s="24"/>
      <c r="E16" s="25" t="str">
        <f>IF($D16="","",VALUE(LEFT($D16,1)))</f>
        <v/>
      </c>
      <c r="F16" s="24"/>
      <c r="G16" s="25" t="str">
        <f>IF($F16="","",VALUE(LEFT($F16,1)))</f>
        <v/>
      </c>
      <c r="H16" s="25" t="str">
        <f>IF(OR($E16="",$G16=""),"",$G16-$E16)</f>
        <v/>
      </c>
      <c r="I16" s="16"/>
    </row>
    <row r="17" spans="1:9" ht="42" customHeight="1" x14ac:dyDescent="0.25">
      <c r="A17" s="28" t="s">
        <v>275</v>
      </c>
      <c r="B17" s="17" t="s">
        <v>276</v>
      </c>
      <c r="C17" s="29" t="s">
        <v>277</v>
      </c>
      <c r="D17" s="30"/>
      <c r="E17" s="31" t="str">
        <f>IF($D17="","",VALUE(LEFT($D17,1)))</f>
        <v/>
      </c>
      <c r="F17" s="30"/>
      <c r="G17" s="31" t="str">
        <f>IF($F17="","",VALUE(LEFT($F17,1)))</f>
        <v/>
      </c>
      <c r="H17" s="31" t="str">
        <f>IF(OR($E17="",$G17=""),"",$G17-$E17)</f>
        <v/>
      </c>
      <c r="I17" s="17"/>
    </row>
    <row r="18" spans="1:9" ht="42" customHeight="1" x14ac:dyDescent="0.25">
      <c r="A18" s="22" t="s">
        <v>278</v>
      </c>
      <c r="B18" s="16" t="s">
        <v>279</v>
      </c>
      <c r="C18" s="23" t="s">
        <v>280</v>
      </c>
      <c r="D18" s="24"/>
      <c r="E18" s="25" t="str">
        <f>IF($D18="","",VALUE(LEFT($D18,1)))</f>
        <v/>
      </c>
      <c r="F18" s="24"/>
      <c r="G18" s="25" t="str">
        <f>IF($F18="","",VALUE(LEFT($F18,1)))</f>
        <v/>
      </c>
      <c r="H18" s="25" t="str">
        <f>IF(OR($E18="",$G18=""),"",$G18-$E18)</f>
        <v/>
      </c>
      <c r="I18" s="16"/>
    </row>
    <row r="19" spans="1:9" ht="42" customHeight="1" x14ac:dyDescent="0.25">
      <c r="A19" s="28" t="s">
        <v>281</v>
      </c>
      <c r="B19" s="17" t="s">
        <v>282</v>
      </c>
      <c r="C19" s="29" t="s">
        <v>283</v>
      </c>
      <c r="D19" s="30"/>
      <c r="E19" s="31" t="str">
        <f>IF($D19="","",VALUE(LEFT($D19,1)))</f>
        <v/>
      </c>
      <c r="F19" s="30"/>
      <c r="G19" s="31" t="str">
        <f>IF($F19="","",VALUE(LEFT($F19,1)))</f>
        <v/>
      </c>
      <c r="H19" s="31" t="str">
        <f>IF(OR($E19="",$G19=""),"",$G19-$E19)</f>
        <v/>
      </c>
      <c r="I19" s="17"/>
    </row>
    <row r="20" spans="1:9" ht="19.5" customHeight="1" x14ac:dyDescent="0.25">
      <c r="A20" s="5" t="s">
        <v>284</v>
      </c>
      <c r="B20" s="5"/>
      <c r="C20" s="5"/>
      <c r="D20" s="5"/>
      <c r="E20" s="5"/>
      <c r="F20" s="5"/>
      <c r="G20" s="5"/>
      <c r="H20" s="5"/>
      <c r="I20" s="5"/>
    </row>
    <row r="21" spans="1:9" ht="42" customHeight="1" x14ac:dyDescent="0.25">
      <c r="A21" s="22" t="s">
        <v>285</v>
      </c>
      <c r="B21" s="16" t="s">
        <v>286</v>
      </c>
      <c r="C21" s="23" t="s">
        <v>287</v>
      </c>
      <c r="D21" s="24"/>
      <c r="E21" s="25" t="str">
        <f>IF($D21="","",VALUE(LEFT($D21,1)))</f>
        <v/>
      </c>
      <c r="F21" s="24"/>
      <c r="G21" s="25" t="str">
        <f>IF($F21="","",VALUE(LEFT($F21,1)))</f>
        <v/>
      </c>
      <c r="H21" s="25" t="str">
        <f>IF(OR($E21="",$G21=""),"",$G21-$E21)</f>
        <v/>
      </c>
      <c r="I21" s="16"/>
    </row>
    <row r="22" spans="1:9" ht="42" customHeight="1" x14ac:dyDescent="0.25">
      <c r="A22" s="28" t="s">
        <v>288</v>
      </c>
      <c r="B22" s="17" t="s">
        <v>289</v>
      </c>
      <c r="C22" s="29" t="s">
        <v>290</v>
      </c>
      <c r="D22" s="30"/>
      <c r="E22" s="31" t="str">
        <f>IF($D22="","",VALUE(LEFT($D22,1)))</f>
        <v/>
      </c>
      <c r="F22" s="30"/>
      <c r="G22" s="31" t="str">
        <f>IF($F22="","",VALUE(LEFT($F22,1)))</f>
        <v/>
      </c>
      <c r="H22" s="31" t="str">
        <f>IF(OR($E22="",$G22=""),"",$G22-$E22)</f>
        <v/>
      </c>
      <c r="I22" s="17"/>
    </row>
  </sheetData>
  <mergeCells count="8">
    <mergeCell ref="A10:I10"/>
    <mergeCell ref="A15:I15"/>
    <mergeCell ref="A20:I20"/>
    <mergeCell ref="A1:I1"/>
    <mergeCell ref="A2:I2"/>
    <mergeCell ref="A3:I3"/>
    <mergeCell ref="K4:M4"/>
    <mergeCell ref="A5:I5"/>
  </mergeCells>
  <conditionalFormatting sqref="E5:E22">
    <cfRule type="colorScale" priority="2">
      <colorScale>
        <cfvo type="num" val="0"/>
        <cfvo type="num" val="2"/>
        <cfvo type="num" val="4"/>
        <color rgb="FFF1948A"/>
        <color rgb="FFF7DC6F"/>
        <color rgb="FF7DCEA0"/>
      </colorScale>
    </cfRule>
  </conditionalFormatting>
  <conditionalFormatting sqref="H5:H22">
    <cfRule type="expression" dxfId="15" priority="3">
      <formula>AND(ISNUMBER($H5),$H5&gt;0)</formula>
    </cfRule>
    <cfRule type="expression" dxfId="14" priority="4">
      <formula>AND(ISNUMBER($H5),$H5&lt;=0)</formula>
    </cfRule>
  </conditionalFormatting>
  <dataValidations count="1">
    <dataValidation type="list" allowBlank="1" showErrorMessage="1" errorTitle="Valor inválido" error="Selecione um valor da lista de níveis." sqref="D6:D9 F6:F9 D11:D14 F11:F14 D16:D19 F16:F19 D21:D22 F21:F22" xr:uid="{00000000-0002-0000-0200-000000000000}">
      <formula1>"0 - HMM0 Inicial,1 - HMM1 Mínimo,2 - HMM2 Procedural,3 - HMM3 Inovador,4 - HMM4 Líder"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M22"/>
  <sheetViews>
    <sheetView showGridLines="0" tabSelected="1" zoomScaleNormal="100" workbookViewId="0">
      <pane ySplit="4" topLeftCell="A5" activePane="bottomLeft" state="frozen"/>
      <selection pane="bottomLeft" activeCell="AA6" sqref="AA6"/>
    </sheetView>
  </sheetViews>
  <sheetFormatPr defaultColWidth="8.7109375" defaultRowHeight="15" x14ac:dyDescent="0.25"/>
  <cols>
    <col min="1" max="1" width="9" customWidth="1"/>
    <col min="2" max="2" width="48" customWidth="1"/>
    <col min="3" max="3" width="56" customWidth="1"/>
    <col min="4" max="4" width="23" customWidth="1"/>
    <col min="5" max="5" width="8" customWidth="1"/>
    <col min="6" max="6" width="23" customWidth="1"/>
    <col min="7" max="7" width="10" customWidth="1"/>
    <col min="8" max="8" width="7" customWidth="1"/>
    <col min="9" max="9" width="36" customWidth="1"/>
    <col min="10" max="10" width="3" customWidth="1"/>
    <col min="11" max="11" width="34" customWidth="1"/>
    <col min="12" max="13" width="11" customWidth="1"/>
  </cols>
  <sheetData>
    <row r="1" spans="1:13" ht="30" customHeight="1" x14ac:dyDescent="0.25">
      <c r="A1" s="14" t="s">
        <v>291</v>
      </c>
      <c r="B1" s="14"/>
      <c r="C1" s="14"/>
      <c r="D1" s="14"/>
      <c r="E1" s="14"/>
      <c r="F1" s="14"/>
      <c r="G1" s="14"/>
      <c r="H1" s="14"/>
      <c r="I1" s="14"/>
    </row>
    <row r="2" spans="1:13" ht="18" customHeight="1" x14ac:dyDescent="0.25">
      <c r="A2" s="13" t="s">
        <v>292</v>
      </c>
      <c r="B2" s="13"/>
      <c r="C2" s="13"/>
      <c r="D2" s="13"/>
      <c r="E2" s="13"/>
      <c r="F2" s="13"/>
      <c r="G2" s="13"/>
      <c r="H2" s="13"/>
      <c r="I2" s="13"/>
    </row>
    <row r="3" spans="1:13" ht="27.75" customHeight="1" x14ac:dyDescent="0.25">
      <c r="A3" s="8" t="s">
        <v>131</v>
      </c>
      <c r="B3" s="8"/>
      <c r="C3" s="8"/>
      <c r="D3" s="8"/>
      <c r="E3" s="8"/>
      <c r="F3" s="8"/>
      <c r="G3" s="8"/>
      <c r="H3" s="8"/>
      <c r="I3" s="8"/>
    </row>
    <row r="4" spans="1:13" ht="27.75" customHeight="1" x14ac:dyDescent="0.25">
      <c r="A4" s="20" t="s">
        <v>132</v>
      </c>
      <c r="B4" s="20" t="s">
        <v>133</v>
      </c>
      <c r="C4" s="20" t="s">
        <v>134</v>
      </c>
      <c r="D4" s="20" t="s">
        <v>135</v>
      </c>
      <c r="E4" s="20" t="s">
        <v>136</v>
      </c>
      <c r="F4" s="20" t="s">
        <v>137</v>
      </c>
      <c r="G4" s="20" t="s">
        <v>138</v>
      </c>
      <c r="H4" s="20" t="s">
        <v>139</v>
      </c>
      <c r="I4" s="20" t="s">
        <v>140</v>
      </c>
      <c r="K4" s="6" t="s">
        <v>141</v>
      </c>
      <c r="L4" s="6"/>
      <c r="M4" s="6"/>
    </row>
    <row r="5" spans="1:13" ht="19.5" customHeight="1" x14ac:dyDescent="0.25">
      <c r="A5" s="5" t="s">
        <v>293</v>
      </c>
      <c r="B5" s="5"/>
      <c r="C5" s="5"/>
      <c r="D5" s="5"/>
      <c r="E5" s="5"/>
      <c r="F5" s="5"/>
      <c r="G5" s="5"/>
      <c r="H5" s="5"/>
      <c r="I5" s="5"/>
      <c r="K5" s="21" t="s">
        <v>143</v>
      </c>
      <c r="L5" s="21" t="s">
        <v>144</v>
      </c>
      <c r="M5" s="21" t="s">
        <v>145</v>
      </c>
    </row>
    <row r="6" spans="1:13" ht="42" customHeight="1" x14ac:dyDescent="0.25">
      <c r="A6" s="22" t="s">
        <v>294</v>
      </c>
      <c r="B6" s="16" t="s">
        <v>295</v>
      </c>
      <c r="C6" s="23" t="s">
        <v>296</v>
      </c>
      <c r="D6" s="24"/>
      <c r="E6" s="25" t="str">
        <f>IF($D6="","",VALUE(LEFT($D6,1)))</f>
        <v/>
      </c>
      <c r="F6" s="24"/>
      <c r="G6" s="25" t="str">
        <f>IF($F6="","",VALUE(LEFT($F6,1)))</f>
        <v/>
      </c>
      <c r="H6" s="25" t="str">
        <f>IF(OR($E6="",$G6=""),"",$G6-$E6)</f>
        <v/>
      </c>
      <c r="I6" s="16"/>
      <c r="K6" s="26" t="s">
        <v>297</v>
      </c>
      <c r="L6" s="27">
        <f>IFERROR(AVERAGE($E$6:$E$9)/5,0)</f>
        <v>0</v>
      </c>
      <c r="M6" s="27">
        <f>IFERROR(AVERAGE($G$6:$G$9)/5,0)</f>
        <v>0</v>
      </c>
    </row>
    <row r="7" spans="1:13" ht="42" customHeight="1" x14ac:dyDescent="0.25">
      <c r="A7" s="28" t="s">
        <v>298</v>
      </c>
      <c r="B7" s="17" t="s">
        <v>299</v>
      </c>
      <c r="C7" s="29" t="s">
        <v>300</v>
      </c>
      <c r="D7" s="30"/>
      <c r="E7" s="31" t="str">
        <f>IF($D7="","",VALUE(LEFT($D7,1)))</f>
        <v/>
      </c>
      <c r="F7" s="30"/>
      <c r="G7" s="31" t="str">
        <f>IF($F7="","",VALUE(LEFT($F7,1)))</f>
        <v/>
      </c>
      <c r="H7" s="31" t="str">
        <f>IF(OR($E7="",$G7=""),"",$G7-$E7)</f>
        <v/>
      </c>
      <c r="I7" s="17"/>
      <c r="K7" s="26" t="s">
        <v>301</v>
      </c>
      <c r="L7" s="27">
        <f>IFERROR(AVERAGE($E$11:$E$13)/5,0)</f>
        <v>0</v>
      </c>
      <c r="M7" s="27">
        <f>IFERROR(AVERAGE($G$11:$G$13)/5,0)</f>
        <v>0</v>
      </c>
    </row>
    <row r="8" spans="1:13" ht="42" customHeight="1" x14ac:dyDescent="0.25">
      <c r="A8" s="22" t="s">
        <v>302</v>
      </c>
      <c r="B8" s="16" t="s">
        <v>303</v>
      </c>
      <c r="C8" s="23" t="s">
        <v>304</v>
      </c>
      <c r="D8" s="24"/>
      <c r="E8" s="25" t="str">
        <f>IF($D8="","",VALUE(LEFT($D8,1)))</f>
        <v/>
      </c>
      <c r="F8" s="24"/>
      <c r="G8" s="25" t="str">
        <f>IF($F8="","",VALUE(LEFT($F8,1)))</f>
        <v/>
      </c>
      <c r="H8" s="25" t="str">
        <f>IF(OR($E8="",$G8=""),"",$G8-$E8)</f>
        <v/>
      </c>
      <c r="I8" s="16"/>
      <c r="K8" s="26" t="s">
        <v>305</v>
      </c>
      <c r="L8" s="27">
        <f>IFERROR(AVERAGE($E$15:$E$19)/5,0)</f>
        <v>0</v>
      </c>
      <c r="M8" s="27">
        <f>IFERROR(AVERAGE($G$15:$G$19)/5,0)</f>
        <v>0</v>
      </c>
    </row>
    <row r="9" spans="1:13" ht="42" customHeight="1" x14ac:dyDescent="0.25">
      <c r="A9" s="28" t="s">
        <v>306</v>
      </c>
      <c r="B9" s="17" t="s">
        <v>307</v>
      </c>
      <c r="C9" s="29" t="s">
        <v>308</v>
      </c>
      <c r="D9" s="30"/>
      <c r="E9" s="31" t="str">
        <f>IF($D9="","",VALUE(LEFT($D9,1)))</f>
        <v/>
      </c>
      <c r="F9" s="30"/>
      <c r="G9" s="31" t="str">
        <f>IF($F9="","",VALUE(LEFT($F9,1)))</f>
        <v/>
      </c>
      <c r="H9" s="31" t="str">
        <f>IF(OR($E9="",$G9=""),"",$G9-$E9)</f>
        <v/>
      </c>
      <c r="I9" s="17"/>
      <c r="K9" s="26" t="s">
        <v>309</v>
      </c>
      <c r="L9" s="27">
        <f>IFERROR(AVERAGE($E$21:$E$22)/5,0)</f>
        <v>0</v>
      </c>
      <c r="M9" s="27">
        <f>IFERROR(AVERAGE($G$21:$G$22)/5,0)</f>
        <v>0</v>
      </c>
    </row>
    <row r="10" spans="1:13" ht="19.5" customHeight="1" x14ac:dyDescent="0.25">
      <c r="A10" s="5" t="s">
        <v>310</v>
      </c>
      <c r="B10" s="5"/>
      <c r="C10" s="5"/>
      <c r="D10" s="5"/>
      <c r="E10" s="5"/>
      <c r="F10" s="5"/>
      <c r="G10" s="5"/>
      <c r="H10" s="5"/>
      <c r="I10" s="5"/>
    </row>
    <row r="11" spans="1:13" ht="42" customHeight="1" x14ac:dyDescent="0.25">
      <c r="A11" s="22" t="s">
        <v>311</v>
      </c>
      <c r="B11" s="16" t="s">
        <v>312</v>
      </c>
      <c r="C11" s="23" t="s">
        <v>313</v>
      </c>
      <c r="D11" s="24"/>
      <c r="E11" s="25" t="str">
        <f>IF($D11="","",VALUE(LEFT($D11,1)))</f>
        <v/>
      </c>
      <c r="F11" s="24"/>
      <c r="G11" s="25" t="str">
        <f>IF($F11="","",VALUE(LEFT($F11,1)))</f>
        <v/>
      </c>
      <c r="H11" s="25" t="str">
        <f>IF(OR($E11="",$G11=""),"",$G11-$E11)</f>
        <v/>
      </c>
      <c r="I11" s="16"/>
    </row>
    <row r="12" spans="1:13" ht="42" customHeight="1" x14ac:dyDescent="0.25">
      <c r="A12" s="28" t="s">
        <v>314</v>
      </c>
      <c r="B12" s="17" t="s">
        <v>315</v>
      </c>
      <c r="C12" s="29" t="s">
        <v>316</v>
      </c>
      <c r="D12" s="30"/>
      <c r="E12" s="31" t="str">
        <f>IF($D12="","",VALUE(LEFT($D12,1)))</f>
        <v/>
      </c>
      <c r="F12" s="30"/>
      <c r="G12" s="31" t="str">
        <f>IF($F12="","",VALUE(LEFT($F12,1)))</f>
        <v/>
      </c>
      <c r="H12" s="31" t="str">
        <f>IF(OR($E12="",$G12=""),"",$G12-$E12)</f>
        <v/>
      </c>
      <c r="I12" s="17"/>
    </row>
    <row r="13" spans="1:13" ht="42" customHeight="1" x14ac:dyDescent="0.25">
      <c r="A13" s="22" t="s">
        <v>317</v>
      </c>
      <c r="B13" s="16" t="s">
        <v>318</v>
      </c>
      <c r="C13" s="23" t="s">
        <v>319</v>
      </c>
      <c r="D13" s="24"/>
      <c r="E13" s="25" t="str">
        <f>IF($D13="","",VALUE(LEFT($D13,1)))</f>
        <v/>
      </c>
      <c r="F13" s="24"/>
      <c r="G13" s="25" t="str">
        <f>IF($F13="","",VALUE(LEFT($F13,1)))</f>
        <v/>
      </c>
      <c r="H13" s="25" t="str">
        <f>IF(OR($E13="",$G13=""),"",$G13-$E13)</f>
        <v/>
      </c>
      <c r="I13" s="16"/>
    </row>
    <row r="14" spans="1:13" ht="19.5" customHeight="1" x14ac:dyDescent="0.25">
      <c r="A14" s="5" t="s">
        <v>320</v>
      </c>
      <c r="B14" s="5"/>
      <c r="C14" s="5"/>
      <c r="D14" s="5"/>
      <c r="E14" s="5"/>
      <c r="F14" s="5"/>
      <c r="G14" s="5"/>
      <c r="H14" s="5"/>
      <c r="I14" s="5"/>
    </row>
    <row r="15" spans="1:13" ht="42" customHeight="1" x14ac:dyDescent="0.25">
      <c r="A15" s="28" t="s">
        <v>321</v>
      </c>
      <c r="B15" s="17" t="s">
        <v>322</v>
      </c>
      <c r="C15" s="29" t="s">
        <v>323</v>
      </c>
      <c r="D15" s="30"/>
      <c r="E15" s="31" t="str">
        <f>IF($D15="","",VALUE(LEFT($D15,1)))</f>
        <v/>
      </c>
      <c r="F15" s="30"/>
      <c r="G15" s="31" t="str">
        <f>IF($F15="","",VALUE(LEFT($F15,1)))</f>
        <v/>
      </c>
      <c r="H15" s="31" t="str">
        <f>IF(OR($E15="",$G15=""),"",$G15-$E15)</f>
        <v/>
      </c>
      <c r="I15" s="17"/>
    </row>
    <row r="16" spans="1:13" ht="42" customHeight="1" x14ac:dyDescent="0.25">
      <c r="A16" s="22" t="s">
        <v>324</v>
      </c>
      <c r="B16" s="16" t="s">
        <v>325</v>
      </c>
      <c r="C16" s="23" t="s">
        <v>326</v>
      </c>
      <c r="D16" s="24"/>
      <c r="E16" s="25" t="str">
        <f>IF($D16="","",VALUE(LEFT($D16,1)))</f>
        <v/>
      </c>
      <c r="F16" s="24"/>
      <c r="G16" s="25" t="str">
        <f>IF($F16="","",VALUE(LEFT($F16,1)))</f>
        <v/>
      </c>
      <c r="H16" s="25" t="str">
        <f>IF(OR($E16="",$G16=""),"",$G16-$E16)</f>
        <v/>
      </c>
      <c r="I16" s="16"/>
    </row>
    <row r="17" spans="1:9" ht="42" customHeight="1" x14ac:dyDescent="0.25">
      <c r="A17" s="28" t="s">
        <v>327</v>
      </c>
      <c r="B17" s="17" t="s">
        <v>328</v>
      </c>
      <c r="C17" s="29" t="s">
        <v>329</v>
      </c>
      <c r="D17" s="30"/>
      <c r="E17" s="31" t="str">
        <f>IF($D17="","",VALUE(LEFT($D17,1)))</f>
        <v/>
      </c>
      <c r="F17" s="30"/>
      <c r="G17" s="31" t="str">
        <f>IF($F17="","",VALUE(LEFT($F17,1)))</f>
        <v/>
      </c>
      <c r="H17" s="31" t="str">
        <f>IF(OR($E17="",$G17=""),"",$G17-$E17)</f>
        <v/>
      </c>
      <c r="I17" s="17"/>
    </row>
    <row r="18" spans="1:9" ht="42" customHeight="1" x14ac:dyDescent="0.25">
      <c r="A18" s="22" t="s">
        <v>330</v>
      </c>
      <c r="B18" s="16" t="s">
        <v>331</v>
      </c>
      <c r="C18" s="23" t="s">
        <v>332</v>
      </c>
      <c r="D18" s="24"/>
      <c r="E18" s="25" t="str">
        <f>IF($D18="","",VALUE(LEFT($D18,1)))</f>
        <v/>
      </c>
      <c r="F18" s="24"/>
      <c r="G18" s="25" t="str">
        <f>IF($F18="","",VALUE(LEFT($F18,1)))</f>
        <v/>
      </c>
      <c r="H18" s="25" t="str">
        <f>IF(OR($E18="",$G18=""),"",$G18-$E18)</f>
        <v/>
      </c>
      <c r="I18" s="16"/>
    </row>
    <row r="19" spans="1:9" ht="42" customHeight="1" x14ac:dyDescent="0.25">
      <c r="A19" s="28" t="s">
        <v>333</v>
      </c>
      <c r="B19" s="17" t="s">
        <v>334</v>
      </c>
      <c r="C19" s="29" t="s">
        <v>335</v>
      </c>
      <c r="D19" s="30"/>
      <c r="E19" s="31" t="str">
        <f>IF($D19="","",VALUE(LEFT($D19,1)))</f>
        <v/>
      </c>
      <c r="F19" s="30"/>
      <c r="G19" s="31" t="str">
        <f>IF($F19="","",VALUE(LEFT($F19,1)))</f>
        <v/>
      </c>
      <c r="H19" s="31" t="str">
        <f>IF(OR($E19="",$G19=""),"",$G19-$E19)</f>
        <v/>
      </c>
      <c r="I19" s="17"/>
    </row>
    <row r="20" spans="1:9" ht="19.5" customHeight="1" x14ac:dyDescent="0.25">
      <c r="A20" s="5" t="s">
        <v>309</v>
      </c>
      <c r="B20" s="5"/>
      <c r="C20" s="5"/>
      <c r="D20" s="5"/>
      <c r="E20" s="5"/>
      <c r="F20" s="5"/>
      <c r="G20" s="5"/>
      <c r="H20" s="5"/>
      <c r="I20" s="5"/>
    </row>
    <row r="21" spans="1:9" ht="42" customHeight="1" x14ac:dyDescent="0.25">
      <c r="A21" s="22" t="s">
        <v>336</v>
      </c>
      <c r="B21" s="16" t="s">
        <v>337</v>
      </c>
      <c r="C21" s="23" t="s">
        <v>338</v>
      </c>
      <c r="D21" s="24"/>
      <c r="E21" s="25" t="str">
        <f>IF($D21="","",VALUE(LEFT($D21,1)))</f>
        <v/>
      </c>
      <c r="F21" s="24"/>
      <c r="G21" s="25" t="str">
        <f>IF($F21="","",VALUE(LEFT($F21,1)))</f>
        <v/>
      </c>
      <c r="H21" s="25" t="str">
        <f>IF(OR($E21="",$G21=""),"",$G21-$E21)</f>
        <v/>
      </c>
      <c r="I21" s="16"/>
    </row>
    <row r="22" spans="1:9" ht="42" customHeight="1" x14ac:dyDescent="0.25">
      <c r="A22" s="28" t="s">
        <v>339</v>
      </c>
      <c r="B22" s="17" t="s">
        <v>340</v>
      </c>
      <c r="C22" s="29" t="s">
        <v>341</v>
      </c>
      <c r="D22" s="30"/>
      <c r="E22" s="31" t="str">
        <f>IF($D22="","",VALUE(LEFT($D22,1)))</f>
        <v/>
      </c>
      <c r="F22" s="30"/>
      <c r="G22" s="31" t="str">
        <f>IF($F22="","",VALUE(LEFT($F22,1)))</f>
        <v/>
      </c>
      <c r="H22" s="31" t="str">
        <f>IF(OR($E22="",$G22=""),"",$G22-$E22)</f>
        <v/>
      </c>
      <c r="I22" s="17"/>
    </row>
  </sheetData>
  <mergeCells count="8">
    <mergeCell ref="A10:I10"/>
    <mergeCell ref="A14:I14"/>
    <mergeCell ref="A20:I20"/>
    <mergeCell ref="A1:I1"/>
    <mergeCell ref="A2:I2"/>
    <mergeCell ref="A3:I3"/>
    <mergeCell ref="K4:M4"/>
    <mergeCell ref="A5:I5"/>
  </mergeCells>
  <conditionalFormatting sqref="E5:E22">
    <cfRule type="colorScale" priority="2">
      <colorScale>
        <cfvo type="num" val="1"/>
        <cfvo type="num" val="3"/>
        <cfvo type="num" val="5"/>
        <color rgb="FFF1948A"/>
        <color rgb="FFF7DC6F"/>
        <color rgb="FF7DCEA0"/>
      </colorScale>
    </cfRule>
  </conditionalFormatting>
  <conditionalFormatting sqref="H5:H22">
    <cfRule type="expression" dxfId="13" priority="3">
      <formula>AND(ISNUMBER($H5),$H5&gt;0)</formula>
    </cfRule>
    <cfRule type="expression" dxfId="12" priority="4">
      <formula>AND(ISNUMBER($H5),$H5&lt;=0)</formula>
    </cfRule>
  </conditionalFormatting>
  <dataValidations count="1">
    <dataValidation type="list" allowBlank="1" showErrorMessage="1" errorTitle="Valor inválido" error="Selecione um valor da lista de níveis." sqref="D6:D9 F6:F9 D11:D13 F11:F13 D15:D19 F15:F19 D21:D22 F21:F22" xr:uid="{00000000-0002-0000-0300-000000000000}">
      <formula1>"1 - Inicial,2 - Gerenciado,3 - Definido,4 - Medido quantitativamente,5 - Otimizado"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M22"/>
  <sheetViews>
    <sheetView showGridLines="0" zoomScaleNormal="100" workbookViewId="0">
      <pane ySplit="4" topLeftCell="A5" activePane="bottomLeft" state="frozen"/>
      <selection pane="bottomLeft" sqref="A1:I1"/>
    </sheetView>
  </sheetViews>
  <sheetFormatPr defaultColWidth="8.7109375" defaultRowHeight="15" x14ac:dyDescent="0.25"/>
  <cols>
    <col min="1" max="1" width="9" customWidth="1"/>
    <col min="2" max="2" width="48" customWidth="1"/>
    <col min="3" max="3" width="56" customWidth="1"/>
    <col min="4" max="4" width="23" customWidth="1"/>
    <col min="5" max="5" width="8" customWidth="1"/>
    <col min="6" max="6" width="23" customWidth="1"/>
    <col min="7" max="7" width="10" customWidth="1"/>
    <col min="8" max="8" width="7" customWidth="1"/>
    <col min="9" max="9" width="36" customWidth="1"/>
    <col min="10" max="10" width="3" customWidth="1"/>
    <col min="11" max="11" width="34" customWidth="1"/>
    <col min="12" max="13" width="11" customWidth="1"/>
  </cols>
  <sheetData>
    <row r="1" spans="1:13" ht="30" customHeight="1" x14ac:dyDescent="0.25">
      <c r="A1" s="14" t="s">
        <v>342</v>
      </c>
      <c r="B1" s="14"/>
      <c r="C1" s="14"/>
      <c r="D1" s="14"/>
      <c r="E1" s="14"/>
      <c r="F1" s="14"/>
      <c r="G1" s="14"/>
      <c r="H1" s="14"/>
      <c r="I1" s="14"/>
    </row>
    <row r="2" spans="1:13" ht="18" customHeight="1" x14ac:dyDescent="0.25">
      <c r="A2" s="13" t="s">
        <v>343</v>
      </c>
      <c r="B2" s="13"/>
      <c r="C2" s="13"/>
      <c r="D2" s="13"/>
      <c r="E2" s="13"/>
      <c r="F2" s="13"/>
      <c r="G2" s="13"/>
      <c r="H2" s="13"/>
      <c r="I2" s="13"/>
    </row>
    <row r="3" spans="1:13" ht="27.75" customHeight="1" x14ac:dyDescent="0.25">
      <c r="A3" s="8" t="s">
        <v>131</v>
      </c>
      <c r="B3" s="8"/>
      <c r="C3" s="8"/>
      <c r="D3" s="8"/>
      <c r="E3" s="8"/>
      <c r="F3" s="8"/>
      <c r="G3" s="8"/>
      <c r="H3" s="8"/>
      <c r="I3" s="8"/>
    </row>
    <row r="4" spans="1:13" ht="27.75" customHeight="1" x14ac:dyDescent="0.25">
      <c r="A4" s="20" t="s">
        <v>132</v>
      </c>
      <c r="B4" s="20" t="s">
        <v>133</v>
      </c>
      <c r="C4" s="20" t="s">
        <v>134</v>
      </c>
      <c r="D4" s="20" t="s">
        <v>135</v>
      </c>
      <c r="E4" s="20" t="s">
        <v>136</v>
      </c>
      <c r="F4" s="20" t="s">
        <v>137</v>
      </c>
      <c r="G4" s="20" t="s">
        <v>138</v>
      </c>
      <c r="H4" s="20" t="s">
        <v>139</v>
      </c>
      <c r="I4" s="20" t="s">
        <v>140</v>
      </c>
      <c r="K4" s="6" t="s">
        <v>141</v>
      </c>
      <c r="L4" s="6"/>
      <c r="M4" s="6"/>
    </row>
    <row r="5" spans="1:13" ht="19.5" customHeight="1" x14ac:dyDescent="0.25">
      <c r="A5" s="5" t="s">
        <v>344</v>
      </c>
      <c r="B5" s="5"/>
      <c r="C5" s="5"/>
      <c r="D5" s="5"/>
      <c r="E5" s="5"/>
      <c r="F5" s="5"/>
      <c r="G5" s="5"/>
      <c r="H5" s="5"/>
      <c r="I5" s="5"/>
      <c r="K5" s="21" t="s">
        <v>143</v>
      </c>
      <c r="L5" s="21" t="s">
        <v>144</v>
      </c>
      <c r="M5" s="21" t="s">
        <v>145</v>
      </c>
    </row>
    <row r="6" spans="1:13" ht="42" customHeight="1" x14ac:dyDescent="0.25">
      <c r="A6" s="22" t="s">
        <v>345</v>
      </c>
      <c r="B6" s="16" t="s">
        <v>346</v>
      </c>
      <c r="C6" s="23" t="s">
        <v>347</v>
      </c>
      <c r="D6" s="24"/>
      <c r="E6" s="25" t="str">
        <f>IF($D6="","",VALUE(LEFT($D6,1)))</f>
        <v/>
      </c>
      <c r="F6" s="24"/>
      <c r="G6" s="25" t="str">
        <f>IF($F6="","",VALUE(LEFT($F6,1)))</f>
        <v/>
      </c>
      <c r="H6" s="25" t="str">
        <f>IF(OR($E6="",$G6=""),"",$G6-$E6)</f>
        <v/>
      </c>
      <c r="I6" s="16"/>
      <c r="K6" s="26" t="s">
        <v>245</v>
      </c>
      <c r="L6" s="27">
        <f>IFERROR(AVERAGE($E$6:$E$10)/5,0)</f>
        <v>0</v>
      </c>
      <c r="M6" s="27">
        <f>IFERROR(AVERAGE($G$6:$G$10)/5,0)</f>
        <v>0</v>
      </c>
    </row>
    <row r="7" spans="1:13" ht="42" customHeight="1" x14ac:dyDescent="0.25">
      <c r="A7" s="28" t="s">
        <v>348</v>
      </c>
      <c r="B7" s="17" t="s">
        <v>349</v>
      </c>
      <c r="C7" s="29" t="s">
        <v>350</v>
      </c>
      <c r="D7" s="30"/>
      <c r="E7" s="31" t="str">
        <f>IF($D7="","",VALUE(LEFT($D7,1)))</f>
        <v/>
      </c>
      <c r="F7" s="30"/>
      <c r="G7" s="31" t="str">
        <f>IF($F7="","",VALUE(LEFT($F7,1)))</f>
        <v/>
      </c>
      <c r="H7" s="31" t="str">
        <f>IF(OR($E7="",$G7=""),"",$G7-$E7)</f>
        <v/>
      </c>
      <c r="I7" s="17"/>
      <c r="K7" s="26" t="s">
        <v>351</v>
      </c>
      <c r="L7" s="27">
        <f>IFERROR(AVERAGE($E$12:$E$15)/5,0)</f>
        <v>0</v>
      </c>
      <c r="M7" s="27">
        <f>IFERROR(AVERAGE($G$12:$G$15)/5,0)</f>
        <v>0</v>
      </c>
    </row>
    <row r="8" spans="1:13" ht="42" customHeight="1" x14ac:dyDescent="0.25">
      <c r="A8" s="22" t="s">
        <v>352</v>
      </c>
      <c r="B8" s="16" t="s">
        <v>353</v>
      </c>
      <c r="C8" s="23" t="s">
        <v>354</v>
      </c>
      <c r="D8" s="24"/>
      <c r="E8" s="25" t="str">
        <f>IF($D8="","",VALUE(LEFT($D8,1)))</f>
        <v/>
      </c>
      <c r="F8" s="24"/>
      <c r="G8" s="25" t="str">
        <f>IF($F8="","",VALUE(LEFT($F8,1)))</f>
        <v/>
      </c>
      <c r="H8" s="25" t="str">
        <f>IF(OR($E8="",$G8=""),"",$G8-$E8)</f>
        <v/>
      </c>
      <c r="I8" s="16"/>
      <c r="K8" s="26" t="s">
        <v>355</v>
      </c>
      <c r="L8" s="27">
        <f>IFERROR(AVERAGE($E$17:$E$22)/5,0)</f>
        <v>0</v>
      </c>
      <c r="M8" s="27">
        <f>IFERROR(AVERAGE($G$17:$G$22)/5,0)</f>
        <v>0</v>
      </c>
    </row>
    <row r="9" spans="1:13" ht="42" customHeight="1" x14ac:dyDescent="0.25">
      <c r="A9" s="28" t="s">
        <v>356</v>
      </c>
      <c r="B9" s="17" t="s">
        <v>357</v>
      </c>
      <c r="C9" s="29" t="s">
        <v>358</v>
      </c>
      <c r="D9" s="30"/>
      <c r="E9" s="31" t="str">
        <f>IF($D9="","",VALUE(LEFT($D9,1)))</f>
        <v/>
      </c>
      <c r="F9" s="30"/>
      <c r="G9" s="31" t="str">
        <f>IF($F9="","",VALUE(LEFT($F9,1)))</f>
        <v/>
      </c>
      <c r="H9" s="31" t="str">
        <f>IF(OR($E9="",$G9=""),"",$G9-$E9)</f>
        <v/>
      </c>
      <c r="I9" s="17"/>
    </row>
    <row r="10" spans="1:13" ht="42" customHeight="1" x14ac:dyDescent="0.25">
      <c r="A10" s="22" t="s">
        <v>359</v>
      </c>
      <c r="B10" s="16" t="s">
        <v>360</v>
      </c>
      <c r="C10" s="23" t="s">
        <v>361</v>
      </c>
      <c r="D10" s="24"/>
      <c r="E10" s="25" t="str">
        <f>IF($D10="","",VALUE(LEFT($D10,1)))</f>
        <v/>
      </c>
      <c r="F10" s="24"/>
      <c r="G10" s="25" t="str">
        <f>IF($F10="","",VALUE(LEFT($F10,1)))</f>
        <v/>
      </c>
      <c r="H10" s="25" t="str">
        <f>IF(OR($E10="",$G10=""),"",$G10-$E10)</f>
        <v/>
      </c>
      <c r="I10" s="16"/>
    </row>
    <row r="11" spans="1:13" ht="19.5" customHeight="1" x14ac:dyDescent="0.25">
      <c r="A11" s="5" t="s">
        <v>362</v>
      </c>
      <c r="B11" s="5"/>
      <c r="C11" s="5"/>
      <c r="D11" s="5"/>
      <c r="E11" s="5"/>
      <c r="F11" s="5"/>
      <c r="G11" s="5"/>
      <c r="H11" s="5"/>
      <c r="I11" s="5"/>
    </row>
    <row r="12" spans="1:13" ht="42" customHeight="1" x14ac:dyDescent="0.25">
      <c r="A12" s="28" t="s">
        <v>363</v>
      </c>
      <c r="B12" s="17" t="s">
        <v>364</v>
      </c>
      <c r="C12" s="29" t="s">
        <v>365</v>
      </c>
      <c r="D12" s="30"/>
      <c r="E12" s="31" t="str">
        <f>IF($D12="","",VALUE(LEFT($D12,1)))</f>
        <v/>
      </c>
      <c r="F12" s="30"/>
      <c r="G12" s="31" t="str">
        <f>IF($F12="","",VALUE(LEFT($F12,1)))</f>
        <v/>
      </c>
      <c r="H12" s="31" t="str">
        <f>IF(OR($E12="",$G12=""),"",$G12-$E12)</f>
        <v/>
      </c>
      <c r="I12" s="17"/>
    </row>
    <row r="13" spans="1:13" ht="42" customHeight="1" x14ac:dyDescent="0.25">
      <c r="A13" s="22" t="s">
        <v>366</v>
      </c>
      <c r="B13" s="16" t="s">
        <v>367</v>
      </c>
      <c r="C13" s="23" t="s">
        <v>368</v>
      </c>
      <c r="D13" s="24"/>
      <c r="E13" s="25" t="str">
        <f>IF($D13="","",VALUE(LEFT($D13,1)))</f>
        <v/>
      </c>
      <c r="F13" s="24"/>
      <c r="G13" s="25" t="str">
        <f>IF($F13="","",VALUE(LEFT($F13,1)))</f>
        <v/>
      </c>
      <c r="H13" s="25" t="str">
        <f>IF(OR($E13="",$G13=""),"",$G13-$E13)</f>
        <v/>
      </c>
      <c r="I13" s="16"/>
    </row>
    <row r="14" spans="1:13" ht="42" customHeight="1" x14ac:dyDescent="0.25">
      <c r="A14" s="28" t="s">
        <v>369</v>
      </c>
      <c r="B14" s="17" t="s">
        <v>370</v>
      </c>
      <c r="C14" s="29" t="s">
        <v>371</v>
      </c>
      <c r="D14" s="30"/>
      <c r="E14" s="31" t="str">
        <f>IF($D14="","",VALUE(LEFT($D14,1)))</f>
        <v/>
      </c>
      <c r="F14" s="30"/>
      <c r="G14" s="31" t="str">
        <f>IF($F14="","",VALUE(LEFT($F14,1)))</f>
        <v/>
      </c>
      <c r="H14" s="31" t="str">
        <f>IF(OR($E14="",$G14=""),"",$G14-$E14)</f>
        <v/>
      </c>
      <c r="I14" s="17"/>
    </row>
    <row r="15" spans="1:13" ht="42" customHeight="1" x14ac:dyDescent="0.25">
      <c r="A15" s="22" t="s">
        <v>372</v>
      </c>
      <c r="B15" s="16" t="s">
        <v>373</v>
      </c>
      <c r="C15" s="23" t="s">
        <v>374</v>
      </c>
      <c r="D15" s="24"/>
      <c r="E15" s="25" t="str">
        <f>IF($D15="","",VALUE(LEFT($D15,1)))</f>
        <v/>
      </c>
      <c r="F15" s="24"/>
      <c r="G15" s="25" t="str">
        <f>IF($F15="","",VALUE(LEFT($F15,1)))</f>
        <v/>
      </c>
      <c r="H15" s="25" t="str">
        <f>IF(OR($E15="",$G15=""),"",$G15-$E15)</f>
        <v/>
      </c>
      <c r="I15" s="16"/>
    </row>
    <row r="16" spans="1:13" ht="19.5" customHeight="1" x14ac:dyDescent="0.25">
      <c r="A16" s="5" t="s">
        <v>375</v>
      </c>
      <c r="B16" s="5"/>
      <c r="C16" s="5"/>
      <c r="D16" s="5"/>
      <c r="E16" s="5"/>
      <c r="F16" s="5"/>
      <c r="G16" s="5"/>
      <c r="H16" s="5"/>
      <c r="I16" s="5"/>
    </row>
    <row r="17" spans="1:9" ht="42" customHeight="1" x14ac:dyDescent="0.25">
      <c r="A17" s="28" t="s">
        <v>376</v>
      </c>
      <c r="B17" s="17" t="s">
        <v>377</v>
      </c>
      <c r="C17" s="29" t="s">
        <v>378</v>
      </c>
      <c r="D17" s="30"/>
      <c r="E17" s="31" t="str">
        <f t="shared" ref="E17:E22" si="0">IF($D17="","",VALUE(LEFT($D17,1)))</f>
        <v/>
      </c>
      <c r="F17" s="30"/>
      <c r="G17" s="31" t="str">
        <f t="shared" ref="G17:G22" si="1">IF($F17="","",VALUE(LEFT($F17,1)))</f>
        <v/>
      </c>
      <c r="H17" s="31" t="str">
        <f t="shared" ref="H17:H22" si="2">IF(OR($E17="",$G17=""),"",$G17-$E17)</f>
        <v/>
      </c>
      <c r="I17" s="17"/>
    </row>
    <row r="18" spans="1:9" ht="42" customHeight="1" x14ac:dyDescent="0.25">
      <c r="A18" s="22" t="s">
        <v>379</v>
      </c>
      <c r="B18" s="16" t="s">
        <v>380</v>
      </c>
      <c r="C18" s="23" t="s">
        <v>381</v>
      </c>
      <c r="D18" s="24"/>
      <c r="E18" s="25" t="str">
        <f t="shared" si="0"/>
        <v/>
      </c>
      <c r="F18" s="24"/>
      <c r="G18" s="25" t="str">
        <f t="shared" si="1"/>
        <v/>
      </c>
      <c r="H18" s="25" t="str">
        <f t="shared" si="2"/>
        <v/>
      </c>
      <c r="I18" s="16"/>
    </row>
    <row r="19" spans="1:9" ht="42" customHeight="1" x14ac:dyDescent="0.25">
      <c r="A19" s="28" t="s">
        <v>382</v>
      </c>
      <c r="B19" s="17" t="s">
        <v>383</v>
      </c>
      <c r="C19" s="29" t="s">
        <v>384</v>
      </c>
      <c r="D19" s="30"/>
      <c r="E19" s="31" t="str">
        <f t="shared" si="0"/>
        <v/>
      </c>
      <c r="F19" s="30"/>
      <c r="G19" s="31" t="str">
        <f t="shared" si="1"/>
        <v/>
      </c>
      <c r="H19" s="31" t="str">
        <f t="shared" si="2"/>
        <v/>
      </c>
      <c r="I19" s="17"/>
    </row>
    <row r="20" spans="1:9" ht="42" customHeight="1" x14ac:dyDescent="0.25">
      <c r="A20" s="22" t="s">
        <v>385</v>
      </c>
      <c r="B20" s="16" t="s">
        <v>386</v>
      </c>
      <c r="C20" s="23" t="s">
        <v>387</v>
      </c>
      <c r="D20" s="24"/>
      <c r="E20" s="25" t="str">
        <f t="shared" si="0"/>
        <v/>
      </c>
      <c r="F20" s="24"/>
      <c r="G20" s="25" t="str">
        <f t="shared" si="1"/>
        <v/>
      </c>
      <c r="H20" s="25" t="str">
        <f t="shared" si="2"/>
        <v/>
      </c>
      <c r="I20" s="16"/>
    </row>
    <row r="21" spans="1:9" ht="42" customHeight="1" x14ac:dyDescent="0.25">
      <c r="A21" s="28" t="s">
        <v>388</v>
      </c>
      <c r="B21" s="17" t="s">
        <v>389</v>
      </c>
      <c r="C21" s="29" t="s">
        <v>390</v>
      </c>
      <c r="D21" s="30"/>
      <c r="E21" s="31" t="str">
        <f t="shared" si="0"/>
        <v/>
      </c>
      <c r="F21" s="30"/>
      <c r="G21" s="31" t="str">
        <f t="shared" si="1"/>
        <v/>
      </c>
      <c r="H21" s="31" t="str">
        <f t="shared" si="2"/>
        <v/>
      </c>
      <c r="I21" s="17"/>
    </row>
    <row r="22" spans="1:9" ht="42" customHeight="1" x14ac:dyDescent="0.25">
      <c r="A22" s="22" t="s">
        <v>391</v>
      </c>
      <c r="B22" s="16" t="s">
        <v>392</v>
      </c>
      <c r="C22" s="23" t="s">
        <v>393</v>
      </c>
      <c r="D22" s="24"/>
      <c r="E22" s="25" t="str">
        <f t="shared" si="0"/>
        <v/>
      </c>
      <c r="F22" s="24"/>
      <c r="G22" s="25" t="str">
        <f t="shared" si="1"/>
        <v/>
      </c>
      <c r="H22" s="25" t="str">
        <f t="shared" si="2"/>
        <v/>
      </c>
      <c r="I22" s="16"/>
    </row>
  </sheetData>
  <mergeCells count="7">
    <mergeCell ref="A11:I11"/>
    <mergeCell ref="A16:I16"/>
    <mergeCell ref="A1:I1"/>
    <mergeCell ref="A2:I2"/>
    <mergeCell ref="A3:I3"/>
    <mergeCell ref="K4:M4"/>
    <mergeCell ref="A5:I5"/>
  </mergeCells>
  <conditionalFormatting sqref="E5:E22">
    <cfRule type="colorScale" priority="2">
      <colorScale>
        <cfvo type="num" val="1"/>
        <cfvo type="num" val="3"/>
        <cfvo type="num" val="5"/>
        <color rgb="FFF1948A"/>
        <color rgb="FFF7DC6F"/>
        <color rgb="FF7DCEA0"/>
      </colorScale>
    </cfRule>
  </conditionalFormatting>
  <conditionalFormatting sqref="H5:H22">
    <cfRule type="expression" dxfId="11" priority="3">
      <formula>AND(ISNUMBER($H5),$H5&gt;0)</formula>
    </cfRule>
    <cfRule type="expression" dxfId="10" priority="4">
      <formula>AND(ISNUMBER($H5),$H5&lt;=0)</formula>
    </cfRule>
  </conditionalFormatting>
  <dataValidations count="1">
    <dataValidation type="list" allowBlank="1" showErrorMessage="1" errorTitle="Valor inválido" error="Selecione um valor da lista de níveis." sqref="D6:D10 F6:F10 D12:D15 F12:F15 D17:D22 F17:F22" xr:uid="{00000000-0002-0000-0400-000000000000}">
      <formula1>"1 - Inicial,2 - Gerenciado,3 - Definido,4 - Medido quantitativamente,5 - Otimizado"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</sheetPr>
  <dimension ref="A1:M53"/>
  <sheetViews>
    <sheetView showGridLines="0" zoomScaleNormal="100" workbookViewId="0">
      <pane ySplit="4" topLeftCell="A20" activePane="bottomLeft" state="frozen"/>
      <selection pane="bottomLeft" activeCell="B29" sqref="B29"/>
    </sheetView>
  </sheetViews>
  <sheetFormatPr defaultColWidth="8.7109375" defaultRowHeight="15" x14ac:dyDescent="0.25"/>
  <cols>
    <col min="1" max="1" width="9" customWidth="1"/>
    <col min="2" max="2" width="52.7109375" customWidth="1"/>
    <col min="3" max="3" width="56" customWidth="1"/>
    <col min="4" max="4" width="23" customWidth="1"/>
    <col min="5" max="5" width="8" customWidth="1"/>
    <col min="6" max="6" width="23" customWidth="1"/>
    <col min="7" max="7" width="10" customWidth="1"/>
    <col min="8" max="8" width="7" customWidth="1"/>
    <col min="9" max="9" width="36" customWidth="1"/>
    <col min="10" max="10" width="3" customWidth="1"/>
    <col min="11" max="11" width="34" customWidth="1"/>
    <col min="12" max="13" width="11" customWidth="1"/>
  </cols>
  <sheetData>
    <row r="1" spans="1:13" ht="30" customHeight="1" x14ac:dyDescent="0.25">
      <c r="A1" s="14" t="s">
        <v>394</v>
      </c>
      <c r="B1" s="14"/>
      <c r="C1" s="14"/>
      <c r="D1" s="14"/>
      <c r="E1" s="14"/>
      <c r="F1" s="14"/>
      <c r="G1" s="14"/>
      <c r="H1" s="14"/>
      <c r="I1" s="14"/>
    </row>
    <row r="2" spans="1:13" ht="18" customHeight="1" x14ac:dyDescent="0.25">
      <c r="A2" s="13" t="s">
        <v>395</v>
      </c>
      <c r="B2" s="13"/>
      <c r="C2" s="13"/>
      <c r="D2" s="13"/>
      <c r="E2" s="13"/>
      <c r="F2" s="13"/>
      <c r="G2" s="13"/>
      <c r="H2" s="13"/>
      <c r="I2" s="13"/>
    </row>
    <row r="3" spans="1:13" ht="27.75" customHeight="1" x14ac:dyDescent="0.25">
      <c r="A3" s="8" t="s">
        <v>131</v>
      </c>
      <c r="B3" s="8"/>
      <c r="C3" s="8"/>
      <c r="D3" s="8"/>
      <c r="E3" s="8"/>
      <c r="F3" s="8"/>
      <c r="G3" s="8"/>
      <c r="H3" s="8"/>
      <c r="I3" s="8"/>
    </row>
    <row r="4" spans="1:13" ht="27.75" customHeight="1" x14ac:dyDescent="0.25">
      <c r="A4" s="20" t="s">
        <v>132</v>
      </c>
      <c r="B4" s="20" t="s">
        <v>133</v>
      </c>
      <c r="C4" s="20" t="s">
        <v>134</v>
      </c>
      <c r="D4" s="20" t="s">
        <v>135</v>
      </c>
      <c r="E4" s="20" t="s">
        <v>136</v>
      </c>
      <c r="F4" s="20" t="s">
        <v>137</v>
      </c>
      <c r="G4" s="20" t="s">
        <v>138</v>
      </c>
      <c r="H4" s="20" t="s">
        <v>139</v>
      </c>
      <c r="I4" s="20" t="s">
        <v>140</v>
      </c>
      <c r="K4" s="6" t="s">
        <v>141</v>
      </c>
      <c r="L4" s="6"/>
      <c r="M4" s="6"/>
    </row>
    <row r="5" spans="1:13" ht="19.5" customHeight="1" x14ac:dyDescent="0.25">
      <c r="A5" s="5" t="s">
        <v>396</v>
      </c>
      <c r="B5" s="5"/>
      <c r="C5" s="5"/>
      <c r="D5" s="5"/>
      <c r="E5" s="5"/>
      <c r="F5" s="5"/>
      <c r="G5" s="5"/>
      <c r="H5" s="5"/>
      <c r="I5" s="5"/>
      <c r="K5" s="21" t="s">
        <v>143</v>
      </c>
      <c r="L5" s="21" t="s">
        <v>144</v>
      </c>
      <c r="M5" s="21" t="s">
        <v>145</v>
      </c>
    </row>
    <row r="6" spans="1:13" ht="42" customHeight="1" x14ac:dyDescent="0.25">
      <c r="A6" s="22" t="s">
        <v>397</v>
      </c>
      <c r="B6" s="16" t="s">
        <v>398</v>
      </c>
      <c r="C6" s="23" t="s">
        <v>399</v>
      </c>
      <c r="D6" s="24"/>
      <c r="E6" s="25" t="str">
        <f t="shared" ref="E6:E16" si="0">IF($D6="","",VALUE(LEFT($D6,1)))</f>
        <v/>
      </c>
      <c r="F6" s="24"/>
      <c r="G6" s="25" t="str">
        <f t="shared" ref="G6:G16" si="1">IF($F6="","",VALUE(LEFT($F6,1)))</f>
        <v/>
      </c>
      <c r="H6" s="25" t="str">
        <f t="shared" ref="H6:H16" si="2">IF(OR($E6="",$G6=""),"",$G6-$E6)</f>
        <v/>
      </c>
      <c r="I6" s="16"/>
      <c r="K6" s="26" t="s">
        <v>400</v>
      </c>
      <c r="L6" s="27">
        <f>IFERROR(AVERAGE($E$6:$E$16)/4,0)</f>
        <v>0</v>
      </c>
      <c r="M6" s="27">
        <f>IFERROR(AVERAGE($G$6:$G$16)/4,0)</f>
        <v>0</v>
      </c>
    </row>
    <row r="7" spans="1:13" ht="42" customHeight="1" x14ac:dyDescent="0.25">
      <c r="A7" s="28" t="s">
        <v>401</v>
      </c>
      <c r="B7" s="17" t="s">
        <v>402</v>
      </c>
      <c r="C7" s="29" t="s">
        <v>403</v>
      </c>
      <c r="D7" s="30"/>
      <c r="E7" s="31" t="str">
        <f t="shared" si="0"/>
        <v/>
      </c>
      <c r="F7" s="30"/>
      <c r="G7" s="31" t="str">
        <f t="shared" si="1"/>
        <v/>
      </c>
      <c r="H7" s="31" t="str">
        <f t="shared" si="2"/>
        <v/>
      </c>
      <c r="I7" s="17"/>
      <c r="K7" s="26" t="s">
        <v>404</v>
      </c>
      <c r="L7" s="27">
        <f>IFERROR(AVERAGE($E$18:$E$24)/4,0)</f>
        <v>0</v>
      </c>
      <c r="M7" s="27">
        <f>IFERROR(AVERAGE($G$18:$G$24)/4,0)</f>
        <v>0</v>
      </c>
    </row>
    <row r="8" spans="1:13" ht="42" customHeight="1" x14ac:dyDescent="0.25">
      <c r="A8" s="22" t="s">
        <v>405</v>
      </c>
      <c r="B8" s="16" t="s">
        <v>406</v>
      </c>
      <c r="C8" s="23" t="s">
        <v>407</v>
      </c>
      <c r="D8" s="24"/>
      <c r="E8" s="25" t="str">
        <f t="shared" si="0"/>
        <v/>
      </c>
      <c r="F8" s="24"/>
      <c r="G8" s="25" t="str">
        <f t="shared" si="1"/>
        <v/>
      </c>
      <c r="H8" s="25" t="str">
        <f t="shared" si="2"/>
        <v/>
      </c>
      <c r="I8" s="16"/>
      <c r="K8" s="26" t="s">
        <v>408</v>
      </c>
      <c r="L8" s="27">
        <f>IFERROR(AVERAGE($E$26:$E$35)/4,0)</f>
        <v>0</v>
      </c>
      <c r="M8" s="27">
        <f>IFERROR(AVERAGE($G$26:$G$35)/4,0)</f>
        <v>0</v>
      </c>
    </row>
    <row r="9" spans="1:13" ht="42" customHeight="1" x14ac:dyDescent="0.25">
      <c r="A9" s="28" t="s">
        <v>409</v>
      </c>
      <c r="B9" s="17" t="s">
        <v>410</v>
      </c>
      <c r="C9" s="29" t="s">
        <v>411</v>
      </c>
      <c r="D9" s="30"/>
      <c r="E9" s="31" t="str">
        <f t="shared" si="0"/>
        <v/>
      </c>
      <c r="F9" s="30"/>
      <c r="G9" s="31" t="str">
        <f t="shared" si="1"/>
        <v/>
      </c>
      <c r="H9" s="31" t="str">
        <f t="shared" si="2"/>
        <v/>
      </c>
      <c r="I9" s="17"/>
      <c r="K9" s="26" t="s">
        <v>412</v>
      </c>
      <c r="L9" s="27">
        <f>IFERROR(AVERAGE($E$37:$E$53)/4,0)</f>
        <v>0</v>
      </c>
      <c r="M9" s="27">
        <f>IFERROR(AVERAGE($G$37:$G$53)/4,0)</f>
        <v>0</v>
      </c>
    </row>
    <row r="10" spans="1:13" ht="42" customHeight="1" x14ac:dyDescent="0.25">
      <c r="A10" s="22" t="s">
        <v>413</v>
      </c>
      <c r="B10" s="16" t="s">
        <v>414</v>
      </c>
      <c r="C10" s="23" t="s">
        <v>415</v>
      </c>
      <c r="D10" s="24"/>
      <c r="E10" s="25" t="str">
        <f t="shared" si="0"/>
        <v/>
      </c>
      <c r="F10" s="24"/>
      <c r="G10" s="25" t="str">
        <f t="shared" si="1"/>
        <v/>
      </c>
      <c r="H10" s="25" t="str">
        <f t="shared" si="2"/>
        <v/>
      </c>
      <c r="I10" s="16"/>
    </row>
    <row r="11" spans="1:13" ht="42" customHeight="1" x14ac:dyDescent="0.25">
      <c r="A11" s="28" t="s">
        <v>416</v>
      </c>
      <c r="B11" s="17" t="s">
        <v>417</v>
      </c>
      <c r="C11" s="29" t="s">
        <v>418</v>
      </c>
      <c r="D11" s="30"/>
      <c r="E11" s="31" t="str">
        <f t="shared" si="0"/>
        <v/>
      </c>
      <c r="F11" s="30"/>
      <c r="G11" s="31" t="str">
        <f t="shared" si="1"/>
        <v/>
      </c>
      <c r="H11" s="31" t="str">
        <f t="shared" si="2"/>
        <v/>
      </c>
      <c r="I11" s="17"/>
    </row>
    <row r="12" spans="1:13" ht="42" customHeight="1" x14ac:dyDescent="0.25">
      <c r="A12" s="22" t="s">
        <v>419</v>
      </c>
      <c r="B12" s="16" t="s">
        <v>420</v>
      </c>
      <c r="C12" s="23" t="s">
        <v>421</v>
      </c>
      <c r="D12" s="24"/>
      <c r="E12" s="25" t="str">
        <f t="shared" si="0"/>
        <v/>
      </c>
      <c r="F12" s="24"/>
      <c r="G12" s="25" t="str">
        <f t="shared" si="1"/>
        <v/>
      </c>
      <c r="H12" s="25" t="str">
        <f t="shared" si="2"/>
        <v/>
      </c>
      <c r="I12" s="16"/>
    </row>
    <row r="13" spans="1:13" ht="42" customHeight="1" x14ac:dyDescent="0.25">
      <c r="A13" s="28" t="s">
        <v>422</v>
      </c>
      <c r="B13" s="17" t="s">
        <v>423</v>
      </c>
      <c r="C13" s="29" t="s">
        <v>424</v>
      </c>
      <c r="D13" s="30"/>
      <c r="E13" s="31" t="str">
        <f t="shared" si="0"/>
        <v/>
      </c>
      <c r="F13" s="30"/>
      <c r="G13" s="31" t="str">
        <f t="shared" si="1"/>
        <v/>
      </c>
      <c r="H13" s="31" t="str">
        <f t="shared" si="2"/>
        <v/>
      </c>
      <c r="I13" s="17"/>
    </row>
    <row r="14" spans="1:13" ht="42" customHeight="1" x14ac:dyDescent="0.25">
      <c r="A14" s="22" t="s">
        <v>425</v>
      </c>
      <c r="B14" s="16" t="s">
        <v>426</v>
      </c>
      <c r="C14" s="23" t="s">
        <v>427</v>
      </c>
      <c r="D14" s="24"/>
      <c r="E14" s="25" t="str">
        <f t="shared" si="0"/>
        <v/>
      </c>
      <c r="F14" s="24"/>
      <c r="G14" s="25" t="str">
        <f t="shared" si="1"/>
        <v/>
      </c>
      <c r="H14" s="25" t="str">
        <f t="shared" si="2"/>
        <v/>
      </c>
      <c r="I14" s="16"/>
    </row>
    <row r="15" spans="1:13" ht="42" customHeight="1" x14ac:dyDescent="0.25">
      <c r="A15" s="28" t="s">
        <v>428</v>
      </c>
      <c r="B15" s="17" t="s">
        <v>429</v>
      </c>
      <c r="C15" s="29" t="s">
        <v>430</v>
      </c>
      <c r="D15" s="30"/>
      <c r="E15" s="31" t="str">
        <f t="shared" si="0"/>
        <v/>
      </c>
      <c r="F15" s="30"/>
      <c r="G15" s="31" t="str">
        <f t="shared" si="1"/>
        <v/>
      </c>
      <c r="H15" s="31" t="str">
        <f t="shared" si="2"/>
        <v/>
      </c>
      <c r="I15" s="17"/>
    </row>
    <row r="16" spans="1:13" ht="42" customHeight="1" x14ac:dyDescent="0.25">
      <c r="A16" s="22" t="s">
        <v>431</v>
      </c>
      <c r="B16" s="16" t="s">
        <v>432</v>
      </c>
      <c r="C16" s="23" t="s">
        <v>433</v>
      </c>
      <c r="D16" s="24"/>
      <c r="E16" s="25" t="str">
        <f t="shared" si="0"/>
        <v/>
      </c>
      <c r="F16" s="24"/>
      <c r="G16" s="25" t="str">
        <f t="shared" si="1"/>
        <v/>
      </c>
      <c r="H16" s="25" t="str">
        <f t="shared" si="2"/>
        <v/>
      </c>
      <c r="I16" s="16"/>
    </row>
    <row r="17" spans="1:9" ht="19.5" customHeight="1" x14ac:dyDescent="0.25">
      <c r="A17" s="5" t="s">
        <v>434</v>
      </c>
      <c r="B17" s="5"/>
      <c r="C17" s="5"/>
      <c r="D17" s="5"/>
      <c r="E17" s="5"/>
      <c r="F17" s="5"/>
      <c r="G17" s="5"/>
      <c r="H17" s="5"/>
      <c r="I17" s="5"/>
    </row>
    <row r="18" spans="1:9" ht="42" customHeight="1" x14ac:dyDescent="0.25">
      <c r="A18" s="28" t="s">
        <v>435</v>
      </c>
      <c r="B18" s="17" t="s">
        <v>436</v>
      </c>
      <c r="C18" s="29" t="s">
        <v>437</v>
      </c>
      <c r="D18" s="30"/>
      <c r="E18" s="31" t="str">
        <f t="shared" ref="E18:E24" si="3">IF($D18="","",VALUE(LEFT($D18,1)))</f>
        <v/>
      </c>
      <c r="F18" s="30"/>
      <c r="G18" s="31" t="str">
        <f t="shared" ref="G18:G24" si="4">IF($F18="","",VALUE(LEFT($F18,1)))</f>
        <v/>
      </c>
      <c r="H18" s="31" t="str">
        <f t="shared" ref="H18:H24" si="5">IF(OR($E18="",$G18=""),"",$G18-$E18)</f>
        <v/>
      </c>
      <c r="I18" s="17"/>
    </row>
    <row r="19" spans="1:9" ht="42" customHeight="1" x14ac:dyDescent="0.25">
      <c r="A19" s="22" t="s">
        <v>438</v>
      </c>
      <c r="B19" s="16" t="s">
        <v>439</v>
      </c>
      <c r="C19" s="23" t="s">
        <v>440</v>
      </c>
      <c r="D19" s="24"/>
      <c r="E19" s="25" t="str">
        <f t="shared" si="3"/>
        <v/>
      </c>
      <c r="F19" s="24"/>
      <c r="G19" s="25" t="str">
        <f t="shared" si="4"/>
        <v/>
      </c>
      <c r="H19" s="25" t="str">
        <f t="shared" si="5"/>
        <v/>
      </c>
      <c r="I19" s="16"/>
    </row>
    <row r="20" spans="1:9" ht="42" customHeight="1" x14ac:dyDescent="0.25">
      <c r="A20" s="28" t="s">
        <v>441</v>
      </c>
      <c r="B20" s="17" t="s">
        <v>442</v>
      </c>
      <c r="C20" s="29" t="s">
        <v>443</v>
      </c>
      <c r="D20" s="30"/>
      <c r="E20" s="31" t="str">
        <f t="shared" si="3"/>
        <v/>
      </c>
      <c r="F20" s="30"/>
      <c r="G20" s="31" t="str">
        <f t="shared" si="4"/>
        <v/>
      </c>
      <c r="H20" s="31" t="str">
        <f t="shared" si="5"/>
        <v/>
      </c>
      <c r="I20" s="17"/>
    </row>
    <row r="21" spans="1:9" ht="42" customHeight="1" x14ac:dyDescent="0.25">
      <c r="A21" s="22" t="s">
        <v>444</v>
      </c>
      <c r="B21" s="16" t="s">
        <v>445</v>
      </c>
      <c r="C21" s="23" t="s">
        <v>446</v>
      </c>
      <c r="D21" s="24"/>
      <c r="E21" s="25" t="str">
        <f t="shared" si="3"/>
        <v/>
      </c>
      <c r="F21" s="24"/>
      <c r="G21" s="25" t="str">
        <f t="shared" si="4"/>
        <v/>
      </c>
      <c r="H21" s="25" t="str">
        <f t="shared" si="5"/>
        <v/>
      </c>
      <c r="I21" s="16"/>
    </row>
    <row r="22" spans="1:9" ht="42" customHeight="1" x14ac:dyDescent="0.25">
      <c r="A22" s="28" t="s">
        <v>447</v>
      </c>
      <c r="B22" s="17" t="s">
        <v>448</v>
      </c>
      <c r="C22" s="29" t="s">
        <v>449</v>
      </c>
      <c r="D22" s="30"/>
      <c r="E22" s="31" t="str">
        <f t="shared" si="3"/>
        <v/>
      </c>
      <c r="F22" s="30"/>
      <c r="G22" s="31" t="str">
        <f t="shared" si="4"/>
        <v/>
      </c>
      <c r="H22" s="31" t="str">
        <f t="shared" si="5"/>
        <v/>
      </c>
      <c r="I22" s="17"/>
    </row>
    <row r="23" spans="1:9" ht="42" customHeight="1" x14ac:dyDescent="0.25">
      <c r="A23" s="22" t="s">
        <v>450</v>
      </c>
      <c r="B23" s="16" t="s">
        <v>451</v>
      </c>
      <c r="C23" s="23" t="s">
        <v>452</v>
      </c>
      <c r="D23" s="24"/>
      <c r="E23" s="25" t="str">
        <f t="shared" si="3"/>
        <v/>
      </c>
      <c r="F23" s="24"/>
      <c r="G23" s="25" t="str">
        <f t="shared" si="4"/>
        <v/>
      </c>
      <c r="H23" s="25" t="str">
        <f t="shared" si="5"/>
        <v/>
      </c>
      <c r="I23" s="16"/>
    </row>
    <row r="24" spans="1:9" ht="42" customHeight="1" x14ac:dyDescent="0.25">
      <c r="A24" s="28" t="s">
        <v>453</v>
      </c>
      <c r="B24" s="17" t="s">
        <v>454</v>
      </c>
      <c r="C24" s="29" t="s">
        <v>455</v>
      </c>
      <c r="D24" s="30"/>
      <c r="E24" s="31" t="str">
        <f t="shared" si="3"/>
        <v/>
      </c>
      <c r="F24" s="30"/>
      <c r="G24" s="31" t="str">
        <f t="shared" si="4"/>
        <v/>
      </c>
      <c r="H24" s="31" t="str">
        <f t="shared" si="5"/>
        <v/>
      </c>
      <c r="I24" s="17"/>
    </row>
    <row r="25" spans="1:9" ht="19.5" customHeight="1" x14ac:dyDescent="0.25">
      <c r="A25" s="5" t="s">
        <v>456</v>
      </c>
      <c r="B25" s="5"/>
      <c r="C25" s="5"/>
      <c r="D25" s="5"/>
      <c r="E25" s="5"/>
      <c r="F25" s="5"/>
      <c r="G25" s="5"/>
      <c r="H25" s="5"/>
      <c r="I25" s="5"/>
    </row>
    <row r="26" spans="1:9" ht="42" customHeight="1" x14ac:dyDescent="0.25">
      <c r="A26" s="22" t="s">
        <v>457</v>
      </c>
      <c r="B26" s="16" t="s">
        <v>458</v>
      </c>
      <c r="C26" s="23" t="s">
        <v>459</v>
      </c>
      <c r="D26" s="24"/>
      <c r="E26" s="25" t="str">
        <f t="shared" ref="E26:E35" si="6">IF($D26="","",VALUE(LEFT($D26,1)))</f>
        <v/>
      </c>
      <c r="F26" s="24"/>
      <c r="G26" s="25" t="str">
        <f t="shared" ref="G26:G35" si="7">IF($F26="","",VALUE(LEFT($F26,1)))</f>
        <v/>
      </c>
      <c r="H26" s="25" t="str">
        <f t="shared" ref="H26:H35" si="8">IF(OR($E26="",$G26=""),"",$G26-$E26)</f>
        <v/>
      </c>
      <c r="I26" s="16"/>
    </row>
    <row r="27" spans="1:9" ht="42" customHeight="1" x14ac:dyDescent="0.25">
      <c r="A27" s="28" t="s">
        <v>460</v>
      </c>
      <c r="B27" s="17" t="s">
        <v>461</v>
      </c>
      <c r="C27" s="29" t="s">
        <v>462</v>
      </c>
      <c r="D27" s="30"/>
      <c r="E27" s="31" t="str">
        <f t="shared" si="6"/>
        <v/>
      </c>
      <c r="F27" s="30"/>
      <c r="G27" s="31" t="str">
        <f t="shared" si="7"/>
        <v/>
      </c>
      <c r="H27" s="31" t="str">
        <f t="shared" si="8"/>
        <v/>
      </c>
      <c r="I27" s="17"/>
    </row>
    <row r="28" spans="1:9" ht="42" customHeight="1" x14ac:dyDescent="0.25">
      <c r="A28" s="22" t="s">
        <v>463</v>
      </c>
      <c r="B28" s="16" t="s">
        <v>464</v>
      </c>
      <c r="C28" s="23" t="s">
        <v>465</v>
      </c>
      <c r="D28" s="24"/>
      <c r="E28" s="25" t="str">
        <f t="shared" si="6"/>
        <v/>
      </c>
      <c r="F28" s="24"/>
      <c r="G28" s="25" t="str">
        <f t="shared" si="7"/>
        <v/>
      </c>
      <c r="H28" s="25" t="str">
        <f t="shared" si="8"/>
        <v/>
      </c>
      <c r="I28" s="16"/>
    </row>
    <row r="29" spans="1:9" ht="42" customHeight="1" x14ac:dyDescent="0.25">
      <c r="A29" s="28" t="s">
        <v>466</v>
      </c>
      <c r="B29" s="17" t="s">
        <v>467</v>
      </c>
      <c r="C29" s="29" t="s">
        <v>468</v>
      </c>
      <c r="D29" s="30"/>
      <c r="E29" s="31" t="str">
        <f t="shared" si="6"/>
        <v/>
      </c>
      <c r="F29" s="30"/>
      <c r="G29" s="31" t="str">
        <f t="shared" si="7"/>
        <v/>
      </c>
      <c r="H29" s="31" t="str">
        <f t="shared" si="8"/>
        <v/>
      </c>
      <c r="I29" s="17"/>
    </row>
    <row r="30" spans="1:9" ht="42" customHeight="1" x14ac:dyDescent="0.25">
      <c r="A30" s="22" t="s">
        <v>469</v>
      </c>
      <c r="B30" s="16" t="s">
        <v>470</v>
      </c>
      <c r="C30" s="23" t="s">
        <v>471</v>
      </c>
      <c r="D30" s="24"/>
      <c r="E30" s="25" t="str">
        <f t="shared" si="6"/>
        <v/>
      </c>
      <c r="F30" s="24"/>
      <c r="G30" s="25" t="str">
        <f t="shared" si="7"/>
        <v/>
      </c>
      <c r="H30" s="25" t="str">
        <f t="shared" si="8"/>
        <v/>
      </c>
      <c r="I30" s="16"/>
    </row>
    <row r="31" spans="1:9" ht="42" customHeight="1" x14ac:dyDescent="0.25">
      <c r="A31" s="28" t="s">
        <v>472</v>
      </c>
      <c r="B31" s="17" t="s">
        <v>473</v>
      </c>
      <c r="C31" s="29" t="s">
        <v>474</v>
      </c>
      <c r="D31" s="30"/>
      <c r="E31" s="31" t="str">
        <f t="shared" si="6"/>
        <v/>
      </c>
      <c r="F31" s="30"/>
      <c r="G31" s="31" t="str">
        <f t="shared" si="7"/>
        <v/>
      </c>
      <c r="H31" s="31" t="str">
        <f t="shared" si="8"/>
        <v/>
      </c>
      <c r="I31" s="17"/>
    </row>
    <row r="32" spans="1:9" ht="42" customHeight="1" x14ac:dyDescent="0.25">
      <c r="A32" s="22" t="s">
        <v>475</v>
      </c>
      <c r="B32" s="16" t="s">
        <v>476</v>
      </c>
      <c r="C32" s="23" t="s">
        <v>477</v>
      </c>
      <c r="D32" s="24"/>
      <c r="E32" s="25" t="str">
        <f t="shared" si="6"/>
        <v/>
      </c>
      <c r="F32" s="24"/>
      <c r="G32" s="25" t="str">
        <f t="shared" si="7"/>
        <v/>
      </c>
      <c r="H32" s="25" t="str">
        <f t="shared" si="8"/>
        <v/>
      </c>
      <c r="I32" s="16"/>
    </row>
    <row r="33" spans="1:9" ht="42" customHeight="1" x14ac:dyDescent="0.25">
      <c r="A33" s="28" t="s">
        <v>478</v>
      </c>
      <c r="B33" s="17" t="s">
        <v>479</v>
      </c>
      <c r="C33" s="29" t="s">
        <v>480</v>
      </c>
      <c r="D33" s="30"/>
      <c r="E33" s="31" t="str">
        <f t="shared" si="6"/>
        <v/>
      </c>
      <c r="F33" s="30"/>
      <c r="G33" s="31" t="str">
        <f t="shared" si="7"/>
        <v/>
      </c>
      <c r="H33" s="31" t="str">
        <f t="shared" si="8"/>
        <v/>
      </c>
      <c r="I33" s="17"/>
    </row>
    <row r="34" spans="1:9" ht="42" customHeight="1" x14ac:dyDescent="0.25">
      <c r="A34" s="22" t="s">
        <v>481</v>
      </c>
      <c r="B34" s="16" t="s">
        <v>482</v>
      </c>
      <c r="C34" s="23" t="s">
        <v>483</v>
      </c>
      <c r="D34" s="24"/>
      <c r="E34" s="25" t="str">
        <f t="shared" si="6"/>
        <v/>
      </c>
      <c r="F34" s="24"/>
      <c r="G34" s="25" t="str">
        <f t="shared" si="7"/>
        <v/>
      </c>
      <c r="H34" s="25" t="str">
        <f t="shared" si="8"/>
        <v/>
      </c>
      <c r="I34" s="16"/>
    </row>
    <row r="35" spans="1:9" ht="42" customHeight="1" x14ac:dyDescent="0.25">
      <c r="A35" s="28" t="s">
        <v>484</v>
      </c>
      <c r="B35" s="17" t="s">
        <v>485</v>
      </c>
      <c r="C35" s="29" t="s">
        <v>486</v>
      </c>
      <c r="D35" s="30"/>
      <c r="E35" s="31" t="str">
        <f t="shared" si="6"/>
        <v/>
      </c>
      <c r="F35" s="30"/>
      <c r="G35" s="31" t="str">
        <f t="shared" si="7"/>
        <v/>
      </c>
      <c r="H35" s="31" t="str">
        <f t="shared" si="8"/>
        <v/>
      </c>
      <c r="I35" s="17"/>
    </row>
    <row r="36" spans="1:9" ht="19.5" customHeight="1" x14ac:dyDescent="0.25">
      <c r="A36" s="5" t="s">
        <v>487</v>
      </c>
      <c r="B36" s="5"/>
      <c r="C36" s="5"/>
      <c r="D36" s="5"/>
      <c r="E36" s="5"/>
      <c r="F36" s="5"/>
      <c r="G36" s="5"/>
      <c r="H36" s="5"/>
      <c r="I36" s="5"/>
    </row>
    <row r="37" spans="1:9" ht="42" customHeight="1" x14ac:dyDescent="0.25">
      <c r="A37" s="22" t="s">
        <v>488</v>
      </c>
      <c r="B37" s="16" t="s">
        <v>489</v>
      </c>
      <c r="C37" s="23" t="s">
        <v>490</v>
      </c>
      <c r="D37" s="24"/>
      <c r="E37" s="25" t="str">
        <f t="shared" ref="E37:E53" si="9">IF($D37="","",VALUE(LEFT($D37,1)))</f>
        <v/>
      </c>
      <c r="F37" s="24"/>
      <c r="G37" s="25" t="str">
        <f t="shared" ref="G37:G53" si="10">IF($F37="","",VALUE(LEFT($F37,1)))</f>
        <v/>
      </c>
      <c r="H37" s="25" t="str">
        <f t="shared" ref="H37:H53" si="11">IF(OR($E37="",$G37=""),"",$G37-$E37)</f>
        <v/>
      </c>
      <c r="I37" s="16"/>
    </row>
    <row r="38" spans="1:9" ht="42" customHeight="1" x14ac:dyDescent="0.25">
      <c r="A38" s="28" t="s">
        <v>491</v>
      </c>
      <c r="B38" s="17" t="s">
        <v>492</v>
      </c>
      <c r="C38" s="29" t="s">
        <v>493</v>
      </c>
      <c r="D38" s="30"/>
      <c r="E38" s="31" t="str">
        <f t="shared" si="9"/>
        <v/>
      </c>
      <c r="F38" s="30"/>
      <c r="G38" s="31" t="str">
        <f t="shared" si="10"/>
        <v/>
      </c>
      <c r="H38" s="31" t="str">
        <f t="shared" si="11"/>
        <v/>
      </c>
      <c r="I38" s="17"/>
    </row>
    <row r="39" spans="1:9" ht="42" customHeight="1" x14ac:dyDescent="0.25">
      <c r="A39" s="22" t="s">
        <v>494</v>
      </c>
      <c r="B39" s="16" t="s">
        <v>495</v>
      </c>
      <c r="C39" s="23" t="s">
        <v>496</v>
      </c>
      <c r="D39" s="24"/>
      <c r="E39" s="25" t="str">
        <f t="shared" si="9"/>
        <v/>
      </c>
      <c r="F39" s="24"/>
      <c r="G39" s="25" t="str">
        <f t="shared" si="10"/>
        <v/>
      </c>
      <c r="H39" s="25" t="str">
        <f t="shared" si="11"/>
        <v/>
      </c>
      <c r="I39" s="16"/>
    </row>
    <row r="40" spans="1:9" ht="42" customHeight="1" x14ac:dyDescent="0.25">
      <c r="A40" s="28" t="s">
        <v>497</v>
      </c>
      <c r="B40" s="17" t="s">
        <v>498</v>
      </c>
      <c r="C40" s="29" t="s">
        <v>499</v>
      </c>
      <c r="D40" s="30"/>
      <c r="E40" s="31" t="str">
        <f t="shared" si="9"/>
        <v/>
      </c>
      <c r="F40" s="30"/>
      <c r="G40" s="31" t="str">
        <f t="shared" si="10"/>
        <v/>
      </c>
      <c r="H40" s="31" t="str">
        <f t="shared" si="11"/>
        <v/>
      </c>
      <c r="I40" s="17"/>
    </row>
    <row r="41" spans="1:9" ht="42" customHeight="1" x14ac:dyDescent="0.25">
      <c r="A41" s="22" t="s">
        <v>500</v>
      </c>
      <c r="B41" s="16" t="s">
        <v>501</v>
      </c>
      <c r="C41" s="23" t="s">
        <v>502</v>
      </c>
      <c r="D41" s="24"/>
      <c r="E41" s="25" t="str">
        <f t="shared" si="9"/>
        <v/>
      </c>
      <c r="F41" s="24"/>
      <c r="G41" s="25" t="str">
        <f t="shared" si="10"/>
        <v/>
      </c>
      <c r="H41" s="25" t="str">
        <f t="shared" si="11"/>
        <v/>
      </c>
      <c r="I41" s="16"/>
    </row>
    <row r="42" spans="1:9" ht="42" customHeight="1" x14ac:dyDescent="0.25">
      <c r="A42" s="28" t="s">
        <v>503</v>
      </c>
      <c r="B42" s="17" t="s">
        <v>504</v>
      </c>
      <c r="C42" s="29" t="s">
        <v>505</v>
      </c>
      <c r="D42" s="30"/>
      <c r="E42" s="31" t="str">
        <f t="shared" si="9"/>
        <v/>
      </c>
      <c r="F42" s="30"/>
      <c r="G42" s="31" t="str">
        <f t="shared" si="10"/>
        <v/>
      </c>
      <c r="H42" s="31" t="str">
        <f t="shared" si="11"/>
        <v/>
      </c>
      <c r="I42" s="17"/>
    </row>
    <row r="43" spans="1:9" ht="42" customHeight="1" x14ac:dyDescent="0.25">
      <c r="A43" s="22" t="s">
        <v>506</v>
      </c>
      <c r="B43" s="16" t="s">
        <v>507</v>
      </c>
      <c r="C43" s="23" t="s">
        <v>508</v>
      </c>
      <c r="D43" s="24"/>
      <c r="E43" s="25" t="str">
        <f t="shared" si="9"/>
        <v/>
      </c>
      <c r="F43" s="24"/>
      <c r="G43" s="25" t="str">
        <f t="shared" si="10"/>
        <v/>
      </c>
      <c r="H43" s="25" t="str">
        <f t="shared" si="11"/>
        <v/>
      </c>
      <c r="I43" s="16"/>
    </row>
    <row r="44" spans="1:9" ht="42" customHeight="1" x14ac:dyDescent="0.25">
      <c r="A44" s="28" t="s">
        <v>509</v>
      </c>
      <c r="B44" s="17" t="s">
        <v>510</v>
      </c>
      <c r="C44" s="29" t="s">
        <v>511</v>
      </c>
      <c r="D44" s="30"/>
      <c r="E44" s="31" t="str">
        <f t="shared" si="9"/>
        <v/>
      </c>
      <c r="F44" s="30"/>
      <c r="G44" s="31" t="str">
        <f t="shared" si="10"/>
        <v/>
      </c>
      <c r="H44" s="31" t="str">
        <f t="shared" si="11"/>
        <v/>
      </c>
      <c r="I44" s="17"/>
    </row>
    <row r="45" spans="1:9" ht="42" customHeight="1" x14ac:dyDescent="0.25">
      <c r="A45" s="22" t="s">
        <v>512</v>
      </c>
      <c r="B45" s="16" t="s">
        <v>513</v>
      </c>
      <c r="C45" s="23" t="s">
        <v>514</v>
      </c>
      <c r="D45" s="24"/>
      <c r="E45" s="25" t="str">
        <f t="shared" si="9"/>
        <v/>
      </c>
      <c r="F45" s="24"/>
      <c r="G45" s="25" t="str">
        <f t="shared" si="10"/>
        <v/>
      </c>
      <c r="H45" s="25" t="str">
        <f t="shared" si="11"/>
        <v/>
      </c>
      <c r="I45" s="16"/>
    </row>
    <row r="46" spans="1:9" ht="42" customHeight="1" x14ac:dyDescent="0.25">
      <c r="A46" s="28" t="s">
        <v>515</v>
      </c>
      <c r="B46" s="17" t="s">
        <v>516</v>
      </c>
      <c r="C46" s="29" t="s">
        <v>517</v>
      </c>
      <c r="D46" s="30"/>
      <c r="E46" s="31" t="str">
        <f t="shared" si="9"/>
        <v/>
      </c>
      <c r="F46" s="30"/>
      <c r="G46" s="31" t="str">
        <f t="shared" si="10"/>
        <v/>
      </c>
      <c r="H46" s="31" t="str">
        <f t="shared" si="11"/>
        <v/>
      </c>
      <c r="I46" s="17"/>
    </row>
    <row r="47" spans="1:9" ht="42" customHeight="1" x14ac:dyDescent="0.25">
      <c r="A47" s="22" t="s">
        <v>518</v>
      </c>
      <c r="B47" s="16" t="s">
        <v>519</v>
      </c>
      <c r="C47" s="23" t="s">
        <v>520</v>
      </c>
      <c r="D47" s="24"/>
      <c r="E47" s="25" t="str">
        <f t="shared" si="9"/>
        <v/>
      </c>
      <c r="F47" s="24"/>
      <c r="G47" s="25" t="str">
        <f t="shared" si="10"/>
        <v/>
      </c>
      <c r="H47" s="25" t="str">
        <f t="shared" si="11"/>
        <v/>
      </c>
      <c r="I47" s="16"/>
    </row>
    <row r="48" spans="1:9" ht="42" customHeight="1" x14ac:dyDescent="0.25">
      <c r="A48" s="28" t="s">
        <v>521</v>
      </c>
      <c r="B48" s="17" t="s">
        <v>522</v>
      </c>
      <c r="C48" s="29" t="s">
        <v>523</v>
      </c>
      <c r="D48" s="30"/>
      <c r="E48" s="31" t="str">
        <f t="shared" si="9"/>
        <v/>
      </c>
      <c r="F48" s="30"/>
      <c r="G48" s="31" t="str">
        <f t="shared" si="10"/>
        <v/>
      </c>
      <c r="H48" s="31" t="str">
        <f t="shared" si="11"/>
        <v/>
      </c>
      <c r="I48" s="17"/>
    </row>
    <row r="49" spans="1:9" ht="42" customHeight="1" x14ac:dyDescent="0.25">
      <c r="A49" s="22" t="s">
        <v>524</v>
      </c>
      <c r="B49" s="16" t="s">
        <v>525</v>
      </c>
      <c r="C49" s="23" t="s">
        <v>526</v>
      </c>
      <c r="D49" s="24"/>
      <c r="E49" s="25" t="str">
        <f t="shared" si="9"/>
        <v/>
      </c>
      <c r="F49" s="24"/>
      <c r="G49" s="25" t="str">
        <f t="shared" si="10"/>
        <v/>
      </c>
      <c r="H49" s="25" t="str">
        <f t="shared" si="11"/>
        <v/>
      </c>
      <c r="I49" s="16"/>
    </row>
    <row r="50" spans="1:9" ht="42" customHeight="1" x14ac:dyDescent="0.25">
      <c r="A50" s="28" t="s">
        <v>527</v>
      </c>
      <c r="B50" s="17" t="s">
        <v>528</v>
      </c>
      <c r="C50" s="29" t="s">
        <v>529</v>
      </c>
      <c r="D50" s="30"/>
      <c r="E50" s="31" t="str">
        <f t="shared" si="9"/>
        <v/>
      </c>
      <c r="F50" s="30"/>
      <c r="G50" s="31" t="str">
        <f t="shared" si="10"/>
        <v/>
      </c>
      <c r="H50" s="31" t="str">
        <f t="shared" si="11"/>
        <v/>
      </c>
      <c r="I50" s="17"/>
    </row>
    <row r="51" spans="1:9" ht="42" customHeight="1" x14ac:dyDescent="0.25">
      <c r="A51" s="22" t="s">
        <v>530</v>
      </c>
      <c r="B51" s="16" t="s">
        <v>531</v>
      </c>
      <c r="C51" s="23" t="s">
        <v>532</v>
      </c>
      <c r="D51" s="24"/>
      <c r="E51" s="25" t="str">
        <f t="shared" si="9"/>
        <v/>
      </c>
      <c r="F51" s="24"/>
      <c r="G51" s="25" t="str">
        <f t="shared" si="10"/>
        <v/>
      </c>
      <c r="H51" s="25" t="str">
        <f t="shared" si="11"/>
        <v/>
      </c>
      <c r="I51" s="16"/>
    </row>
    <row r="52" spans="1:9" ht="42" customHeight="1" x14ac:dyDescent="0.25">
      <c r="A52" s="28" t="s">
        <v>533</v>
      </c>
      <c r="B52" s="17" t="s">
        <v>534</v>
      </c>
      <c r="C52" s="29" t="s">
        <v>535</v>
      </c>
      <c r="D52" s="30"/>
      <c r="E52" s="31" t="str">
        <f t="shared" si="9"/>
        <v/>
      </c>
      <c r="F52" s="30"/>
      <c r="G52" s="31" t="str">
        <f t="shared" si="10"/>
        <v/>
      </c>
      <c r="H52" s="31" t="str">
        <f t="shared" si="11"/>
        <v/>
      </c>
      <c r="I52" s="17"/>
    </row>
    <row r="53" spans="1:9" ht="42" customHeight="1" x14ac:dyDescent="0.25">
      <c r="A53" s="22" t="s">
        <v>536</v>
      </c>
      <c r="B53" s="16" t="s">
        <v>537</v>
      </c>
      <c r="C53" s="23" t="s">
        <v>538</v>
      </c>
      <c r="D53" s="24"/>
      <c r="E53" s="25" t="str">
        <f t="shared" si="9"/>
        <v/>
      </c>
      <c r="F53" s="24"/>
      <c r="G53" s="25" t="str">
        <f t="shared" si="10"/>
        <v/>
      </c>
      <c r="H53" s="25" t="str">
        <f t="shared" si="11"/>
        <v/>
      </c>
      <c r="I53" s="16"/>
    </row>
  </sheetData>
  <mergeCells count="8">
    <mergeCell ref="A17:I17"/>
    <mergeCell ref="A25:I25"/>
    <mergeCell ref="A36:I36"/>
    <mergeCell ref="A1:I1"/>
    <mergeCell ref="A2:I2"/>
    <mergeCell ref="A3:I3"/>
    <mergeCell ref="K4:M4"/>
    <mergeCell ref="A5:I5"/>
  </mergeCells>
  <conditionalFormatting sqref="E5:E53">
    <cfRule type="colorScale" priority="2">
      <colorScale>
        <cfvo type="num" val="0"/>
        <cfvo type="num" val="2"/>
        <cfvo type="num" val="4"/>
        <color rgb="FFF1948A"/>
        <color rgb="FFF7DC6F"/>
        <color rgb="FF7DCEA0"/>
      </colorScale>
    </cfRule>
  </conditionalFormatting>
  <conditionalFormatting sqref="H5:H53">
    <cfRule type="expression" dxfId="9" priority="3">
      <formula>AND(ISNUMBER($H5),$H5&gt;0)</formula>
    </cfRule>
    <cfRule type="expression" dxfId="8" priority="4">
      <formula>AND(ISNUMBER($H5),$H5&lt;=0)</formula>
    </cfRule>
  </conditionalFormatting>
  <dataValidations count="1">
    <dataValidation type="list" allowBlank="1" showErrorMessage="1" errorTitle="Valor inválido" error="Selecione um valor da lista de níveis." sqref="D6:D16 F6:F16 D18:D24 F18:F24 D26:D35 F26:F35 D37:D53 F37:F53" xr:uid="{00000000-0002-0000-0500-000000000000}">
      <formula1>"0 - Indisponível/indefinido,1 - Implícito,2 - Explícito interno,3 - Explícito formalizado,4 - Explícito auditado"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5B6"/>
  </sheetPr>
  <dimension ref="A1:M2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9" customWidth="1"/>
    <col min="2" max="2" width="48" customWidth="1"/>
    <col min="3" max="3" width="56" customWidth="1"/>
    <col min="4" max="4" width="23" customWidth="1"/>
    <col min="5" max="5" width="8" customWidth="1"/>
    <col min="6" max="6" width="23" customWidth="1"/>
    <col min="7" max="7" width="10" customWidth="1"/>
    <col min="8" max="8" width="7" customWidth="1"/>
    <col min="9" max="9" width="36" customWidth="1"/>
    <col min="10" max="10" width="3" customWidth="1"/>
    <col min="11" max="11" width="34" customWidth="1"/>
    <col min="12" max="13" width="11" customWidth="1"/>
  </cols>
  <sheetData>
    <row r="1" spans="1:13" ht="30" customHeight="1" x14ac:dyDescent="0.25">
      <c r="A1" s="14" t="s">
        <v>539</v>
      </c>
      <c r="B1" s="14"/>
      <c r="C1" s="14"/>
      <c r="D1" s="14"/>
      <c r="E1" s="14"/>
      <c r="F1" s="14"/>
      <c r="G1" s="14"/>
      <c r="H1" s="14"/>
      <c r="I1" s="14"/>
    </row>
    <row r="2" spans="1:13" ht="18" customHeight="1" x14ac:dyDescent="0.25">
      <c r="A2" s="13" t="s">
        <v>540</v>
      </c>
      <c r="B2" s="13"/>
      <c r="C2" s="13"/>
      <c r="D2" s="13"/>
      <c r="E2" s="13"/>
      <c r="F2" s="13"/>
      <c r="G2" s="13"/>
      <c r="H2" s="13"/>
      <c r="I2" s="13"/>
    </row>
    <row r="3" spans="1:13" ht="27.75" customHeight="1" x14ac:dyDescent="0.25">
      <c r="A3" s="8" t="s">
        <v>131</v>
      </c>
      <c r="B3" s="8"/>
      <c r="C3" s="8"/>
      <c r="D3" s="8"/>
      <c r="E3" s="8"/>
      <c r="F3" s="8"/>
      <c r="G3" s="8"/>
      <c r="H3" s="8"/>
      <c r="I3" s="8"/>
    </row>
    <row r="4" spans="1:13" ht="27.75" customHeight="1" x14ac:dyDescent="0.25">
      <c r="A4" s="20" t="s">
        <v>132</v>
      </c>
      <c r="B4" s="20" t="s">
        <v>133</v>
      </c>
      <c r="C4" s="20" t="s">
        <v>134</v>
      </c>
      <c r="D4" s="20" t="s">
        <v>135</v>
      </c>
      <c r="E4" s="20" t="s">
        <v>136</v>
      </c>
      <c r="F4" s="20" t="s">
        <v>137</v>
      </c>
      <c r="G4" s="20" t="s">
        <v>138</v>
      </c>
      <c r="H4" s="20" t="s">
        <v>139</v>
      </c>
      <c r="I4" s="20" t="s">
        <v>140</v>
      </c>
      <c r="K4" s="6" t="s">
        <v>141</v>
      </c>
      <c r="L4" s="6"/>
      <c r="M4" s="6"/>
    </row>
    <row r="5" spans="1:13" ht="19.5" customHeight="1" x14ac:dyDescent="0.25">
      <c r="A5" s="5" t="s">
        <v>541</v>
      </c>
      <c r="B5" s="5"/>
      <c r="C5" s="5"/>
      <c r="D5" s="5"/>
      <c r="E5" s="5"/>
      <c r="F5" s="5"/>
      <c r="G5" s="5"/>
      <c r="H5" s="5"/>
      <c r="I5" s="5"/>
      <c r="K5" s="21" t="s">
        <v>143</v>
      </c>
      <c r="L5" s="21" t="s">
        <v>144</v>
      </c>
      <c r="M5" s="21" t="s">
        <v>145</v>
      </c>
    </row>
    <row r="6" spans="1:13" ht="42" customHeight="1" x14ac:dyDescent="0.25">
      <c r="A6" s="22" t="s">
        <v>542</v>
      </c>
      <c r="B6" s="16" t="s">
        <v>543</v>
      </c>
      <c r="C6" s="23" t="s">
        <v>544</v>
      </c>
      <c r="D6" s="24"/>
      <c r="E6" s="25" t="str">
        <f>IF($D6="","",VALUE(LEFT($D6,1)))</f>
        <v/>
      </c>
      <c r="F6" s="24"/>
      <c r="G6" s="25" t="str">
        <f>IF($F6="","",VALUE(LEFT($F6,1)))</f>
        <v/>
      </c>
      <c r="H6" s="25" t="str">
        <f>IF(OR($E6="",$G6=""),"",$G6-$E6)</f>
        <v/>
      </c>
      <c r="I6" s="16"/>
      <c r="K6" s="26" t="s">
        <v>545</v>
      </c>
      <c r="L6" s="27">
        <f>IFERROR(AVERAGE($E$6:$E$9)/3,0)</f>
        <v>0</v>
      </c>
      <c r="M6" s="27">
        <f>IFERROR(AVERAGE($G$6:$G$9)/3,0)</f>
        <v>0</v>
      </c>
    </row>
    <row r="7" spans="1:13" ht="42" customHeight="1" x14ac:dyDescent="0.25">
      <c r="A7" s="28" t="s">
        <v>546</v>
      </c>
      <c r="B7" s="17" t="s">
        <v>547</v>
      </c>
      <c r="C7" s="29" t="s">
        <v>548</v>
      </c>
      <c r="D7" s="30"/>
      <c r="E7" s="31" t="str">
        <f>IF($D7="","",VALUE(LEFT($D7,1)))</f>
        <v/>
      </c>
      <c r="F7" s="30"/>
      <c r="G7" s="31" t="str">
        <f>IF($F7="","",VALUE(LEFT($F7,1)))</f>
        <v/>
      </c>
      <c r="H7" s="31" t="str">
        <f>IF(OR($E7="",$G7=""),"",$G7-$E7)</f>
        <v/>
      </c>
      <c r="I7" s="17"/>
      <c r="K7" s="26" t="s">
        <v>549</v>
      </c>
      <c r="L7" s="27">
        <f>IFERROR(AVERAGE($E$11:$E$13)/3,0)</f>
        <v>0</v>
      </c>
      <c r="M7" s="27">
        <f>IFERROR(AVERAGE($G$11:$G$13)/3,0)</f>
        <v>0</v>
      </c>
    </row>
    <row r="8" spans="1:13" ht="42" customHeight="1" x14ac:dyDescent="0.25">
      <c r="A8" s="22" t="s">
        <v>550</v>
      </c>
      <c r="B8" s="16" t="s">
        <v>551</v>
      </c>
      <c r="C8" s="23" t="s">
        <v>552</v>
      </c>
      <c r="D8" s="24"/>
      <c r="E8" s="25" t="str">
        <f>IF($D8="","",VALUE(LEFT($D8,1)))</f>
        <v/>
      </c>
      <c r="F8" s="24"/>
      <c r="G8" s="25" t="str">
        <f>IF($F8="","",VALUE(LEFT($F8,1)))</f>
        <v/>
      </c>
      <c r="H8" s="25" t="str">
        <f>IF(OR($E8="",$G8=""),"",$G8-$E8)</f>
        <v/>
      </c>
      <c r="I8" s="16"/>
      <c r="K8" s="26" t="s">
        <v>553</v>
      </c>
      <c r="L8" s="27">
        <f>IFERROR(AVERAGE($E$15:$E$17)/3,0)</f>
        <v>0</v>
      </c>
      <c r="M8" s="27">
        <f>IFERROR(AVERAGE($G$15:$G$17)/3,0)</f>
        <v>0</v>
      </c>
    </row>
    <row r="9" spans="1:13" ht="42" customHeight="1" x14ac:dyDescent="0.25">
      <c r="A9" s="28" t="s">
        <v>554</v>
      </c>
      <c r="B9" s="17" t="s">
        <v>555</v>
      </c>
      <c r="C9" s="29" t="s">
        <v>556</v>
      </c>
      <c r="D9" s="30"/>
      <c r="E9" s="31" t="str">
        <f>IF($D9="","",VALUE(LEFT($D9,1)))</f>
        <v/>
      </c>
      <c r="F9" s="30"/>
      <c r="G9" s="31" t="str">
        <f>IF($F9="","",VALUE(LEFT($F9,1)))</f>
        <v/>
      </c>
      <c r="H9" s="31" t="str">
        <f>IF(OR($E9="",$G9=""),"",$G9-$E9)</f>
        <v/>
      </c>
      <c r="I9" s="17"/>
      <c r="K9" s="26" t="s">
        <v>557</v>
      </c>
      <c r="L9" s="27">
        <f>IFERROR(AVERAGE($E$19:$E$20)/3,0)</f>
        <v>0</v>
      </c>
      <c r="M9" s="27">
        <f>IFERROR(AVERAGE($G$19:$G$20)/3,0)</f>
        <v>0</v>
      </c>
    </row>
    <row r="10" spans="1:13" ht="19.5" customHeight="1" x14ac:dyDescent="0.25">
      <c r="A10" s="5" t="s">
        <v>558</v>
      </c>
      <c r="B10" s="5"/>
      <c r="C10" s="5"/>
      <c r="D10" s="5"/>
      <c r="E10" s="5"/>
      <c r="F10" s="5"/>
      <c r="G10" s="5"/>
      <c r="H10" s="5"/>
      <c r="I10" s="5"/>
      <c r="K10" s="26" t="s">
        <v>559</v>
      </c>
      <c r="L10" s="27">
        <f>IFERROR(AVERAGE($E$22:$E$24)/3,0)</f>
        <v>0</v>
      </c>
      <c r="M10" s="27">
        <f>IFERROR(AVERAGE($G$22:$G$24)/3,0)</f>
        <v>0</v>
      </c>
    </row>
    <row r="11" spans="1:13" ht="42" customHeight="1" x14ac:dyDescent="0.25">
      <c r="A11" s="22" t="s">
        <v>560</v>
      </c>
      <c r="B11" s="16" t="s">
        <v>561</v>
      </c>
      <c r="C11" s="23" t="s">
        <v>562</v>
      </c>
      <c r="D11" s="24"/>
      <c r="E11" s="25" t="str">
        <f>IF($D11="","",VALUE(LEFT($D11,1)))</f>
        <v/>
      </c>
      <c r="F11" s="24"/>
      <c r="G11" s="25" t="str">
        <f>IF($F11="","",VALUE(LEFT($F11,1)))</f>
        <v/>
      </c>
      <c r="H11" s="25" t="str">
        <f>IF(OR($E11="",$G11=""),"",$G11-$E11)</f>
        <v/>
      </c>
      <c r="I11" s="16"/>
      <c r="K11" s="26" t="s">
        <v>563</v>
      </c>
      <c r="L11" s="27">
        <f>IFERROR(AVERAGE($E$26:$E$28)/3,0)</f>
        <v>0</v>
      </c>
      <c r="M11" s="27">
        <f>IFERROR(AVERAGE($G$26:$G$28)/3,0)</f>
        <v>0</v>
      </c>
    </row>
    <row r="12" spans="1:13" ht="42" customHeight="1" x14ac:dyDescent="0.25">
      <c r="A12" s="28" t="s">
        <v>564</v>
      </c>
      <c r="B12" s="17" t="s">
        <v>565</v>
      </c>
      <c r="C12" s="29" t="s">
        <v>566</v>
      </c>
      <c r="D12" s="30"/>
      <c r="E12" s="31" t="str">
        <f>IF($D12="","",VALUE(LEFT($D12,1)))</f>
        <v/>
      </c>
      <c r="F12" s="30"/>
      <c r="G12" s="31" t="str">
        <f>IF($F12="","",VALUE(LEFT($F12,1)))</f>
        <v/>
      </c>
      <c r="H12" s="31" t="str">
        <f>IF(OR($E12="",$G12=""),"",$G12-$E12)</f>
        <v/>
      </c>
      <c r="I12" s="17"/>
    </row>
    <row r="13" spans="1:13" ht="42" customHeight="1" x14ac:dyDescent="0.25">
      <c r="A13" s="22" t="s">
        <v>567</v>
      </c>
      <c r="B13" s="16" t="s">
        <v>568</v>
      </c>
      <c r="C13" s="23" t="s">
        <v>569</v>
      </c>
      <c r="D13" s="24"/>
      <c r="E13" s="25" t="str">
        <f>IF($D13="","",VALUE(LEFT($D13,1)))</f>
        <v/>
      </c>
      <c r="F13" s="24"/>
      <c r="G13" s="25" t="str">
        <f>IF($F13="","",VALUE(LEFT($F13,1)))</f>
        <v/>
      </c>
      <c r="H13" s="25" t="str">
        <f>IF(OR($E13="",$G13=""),"",$G13-$E13)</f>
        <v/>
      </c>
      <c r="I13" s="16"/>
    </row>
    <row r="14" spans="1:13" ht="19.5" customHeight="1" x14ac:dyDescent="0.25">
      <c r="A14" s="5" t="s">
        <v>570</v>
      </c>
      <c r="B14" s="5"/>
      <c r="C14" s="5"/>
      <c r="D14" s="5"/>
      <c r="E14" s="5"/>
      <c r="F14" s="5"/>
      <c r="G14" s="5"/>
      <c r="H14" s="5"/>
      <c r="I14" s="5"/>
    </row>
    <row r="15" spans="1:13" ht="42" customHeight="1" x14ac:dyDescent="0.25">
      <c r="A15" s="28" t="s">
        <v>571</v>
      </c>
      <c r="B15" s="17" t="s">
        <v>572</v>
      </c>
      <c r="C15" s="29" t="s">
        <v>573</v>
      </c>
      <c r="D15" s="30"/>
      <c r="E15" s="31" t="str">
        <f>IF($D15="","",VALUE(LEFT($D15,1)))</f>
        <v/>
      </c>
      <c r="F15" s="30"/>
      <c r="G15" s="31" t="str">
        <f>IF($F15="","",VALUE(LEFT($F15,1)))</f>
        <v/>
      </c>
      <c r="H15" s="31" t="str">
        <f>IF(OR($E15="",$G15=""),"",$G15-$E15)</f>
        <v/>
      </c>
      <c r="I15" s="17"/>
    </row>
    <row r="16" spans="1:13" ht="42" customHeight="1" x14ac:dyDescent="0.25">
      <c r="A16" s="22" t="s">
        <v>574</v>
      </c>
      <c r="B16" s="16" t="s">
        <v>575</v>
      </c>
      <c r="C16" s="23" t="s">
        <v>576</v>
      </c>
      <c r="D16" s="24"/>
      <c r="E16" s="25" t="str">
        <f>IF($D16="","",VALUE(LEFT($D16,1)))</f>
        <v/>
      </c>
      <c r="F16" s="24"/>
      <c r="G16" s="25" t="str">
        <f>IF($F16="","",VALUE(LEFT($F16,1)))</f>
        <v/>
      </c>
      <c r="H16" s="25" t="str">
        <f>IF(OR($E16="",$G16=""),"",$G16-$E16)</f>
        <v/>
      </c>
      <c r="I16" s="16"/>
    </row>
    <row r="17" spans="1:9" ht="42" customHeight="1" x14ac:dyDescent="0.25">
      <c r="A17" s="28" t="s">
        <v>577</v>
      </c>
      <c r="B17" s="17" t="s">
        <v>578</v>
      </c>
      <c r="C17" s="29" t="s">
        <v>579</v>
      </c>
      <c r="D17" s="30"/>
      <c r="E17" s="31" t="str">
        <f>IF($D17="","",VALUE(LEFT($D17,1)))</f>
        <v/>
      </c>
      <c r="F17" s="30"/>
      <c r="G17" s="31" t="str">
        <f>IF($F17="","",VALUE(LEFT($F17,1)))</f>
        <v/>
      </c>
      <c r="H17" s="31" t="str">
        <f>IF(OR($E17="",$G17=""),"",$G17-$E17)</f>
        <v/>
      </c>
      <c r="I17" s="17"/>
    </row>
    <row r="18" spans="1:9" ht="19.5" customHeight="1" x14ac:dyDescent="0.25">
      <c r="A18" s="5" t="s">
        <v>580</v>
      </c>
      <c r="B18" s="5"/>
      <c r="C18" s="5"/>
      <c r="D18" s="5"/>
      <c r="E18" s="5"/>
      <c r="F18" s="5"/>
      <c r="G18" s="5"/>
      <c r="H18" s="5"/>
      <c r="I18" s="5"/>
    </row>
    <row r="19" spans="1:9" ht="42" customHeight="1" x14ac:dyDescent="0.25">
      <c r="A19" s="22" t="s">
        <v>581</v>
      </c>
      <c r="B19" s="16" t="s">
        <v>582</v>
      </c>
      <c r="C19" s="23" t="s">
        <v>583</v>
      </c>
      <c r="D19" s="24"/>
      <c r="E19" s="25" t="str">
        <f>IF($D19="","",VALUE(LEFT($D19,1)))</f>
        <v/>
      </c>
      <c r="F19" s="24"/>
      <c r="G19" s="25" t="str">
        <f>IF($F19="","",VALUE(LEFT($F19,1)))</f>
        <v/>
      </c>
      <c r="H19" s="25" t="str">
        <f>IF(OR($E19="",$G19=""),"",$G19-$E19)</f>
        <v/>
      </c>
      <c r="I19" s="16"/>
    </row>
    <row r="20" spans="1:9" ht="42" customHeight="1" x14ac:dyDescent="0.25">
      <c r="A20" s="28" t="s">
        <v>584</v>
      </c>
      <c r="B20" s="17" t="s">
        <v>585</v>
      </c>
      <c r="C20" s="29" t="s">
        <v>586</v>
      </c>
      <c r="D20" s="30"/>
      <c r="E20" s="31" t="str">
        <f>IF($D20="","",VALUE(LEFT($D20,1)))</f>
        <v/>
      </c>
      <c r="F20" s="30"/>
      <c r="G20" s="31" t="str">
        <f>IF($F20="","",VALUE(LEFT($F20,1)))</f>
        <v/>
      </c>
      <c r="H20" s="31" t="str">
        <f>IF(OR($E20="",$G20=""),"",$G20-$E20)</f>
        <v/>
      </c>
      <c r="I20" s="17"/>
    </row>
    <row r="21" spans="1:9" ht="19.5" customHeight="1" x14ac:dyDescent="0.25">
      <c r="A21" s="5" t="s">
        <v>587</v>
      </c>
      <c r="B21" s="5"/>
      <c r="C21" s="5"/>
      <c r="D21" s="5"/>
      <c r="E21" s="5"/>
      <c r="F21" s="5"/>
      <c r="G21" s="5"/>
      <c r="H21" s="5"/>
      <c r="I21" s="5"/>
    </row>
    <row r="22" spans="1:9" ht="42" customHeight="1" x14ac:dyDescent="0.25">
      <c r="A22" s="22" t="s">
        <v>588</v>
      </c>
      <c r="B22" s="16" t="s">
        <v>589</v>
      </c>
      <c r="C22" s="23" t="s">
        <v>590</v>
      </c>
      <c r="D22" s="24"/>
      <c r="E22" s="25" t="str">
        <f>IF($D22="","",VALUE(LEFT($D22,1)))</f>
        <v/>
      </c>
      <c r="F22" s="24"/>
      <c r="G22" s="25" t="str">
        <f>IF($F22="","",VALUE(LEFT($F22,1)))</f>
        <v/>
      </c>
      <c r="H22" s="25" t="str">
        <f>IF(OR($E22="",$G22=""),"",$G22-$E22)</f>
        <v/>
      </c>
      <c r="I22" s="16"/>
    </row>
    <row r="23" spans="1:9" ht="42" customHeight="1" x14ac:dyDescent="0.25">
      <c r="A23" s="28" t="s">
        <v>591</v>
      </c>
      <c r="B23" s="17" t="s">
        <v>592</v>
      </c>
      <c r="C23" s="29" t="s">
        <v>593</v>
      </c>
      <c r="D23" s="30"/>
      <c r="E23" s="31" t="str">
        <f>IF($D23="","",VALUE(LEFT($D23,1)))</f>
        <v/>
      </c>
      <c r="F23" s="30"/>
      <c r="G23" s="31" t="str">
        <f>IF($F23="","",VALUE(LEFT($F23,1)))</f>
        <v/>
      </c>
      <c r="H23" s="31" t="str">
        <f>IF(OR($E23="",$G23=""),"",$G23-$E23)</f>
        <v/>
      </c>
      <c r="I23" s="17"/>
    </row>
    <row r="24" spans="1:9" ht="42" customHeight="1" x14ac:dyDescent="0.25">
      <c r="A24" s="22" t="s">
        <v>594</v>
      </c>
      <c r="B24" s="16" t="s">
        <v>595</v>
      </c>
      <c r="C24" s="23" t="s">
        <v>596</v>
      </c>
      <c r="D24" s="24"/>
      <c r="E24" s="25" t="str">
        <f>IF($D24="","",VALUE(LEFT($D24,1)))</f>
        <v/>
      </c>
      <c r="F24" s="24"/>
      <c r="G24" s="25" t="str">
        <f>IF($F24="","",VALUE(LEFT($F24,1)))</f>
        <v/>
      </c>
      <c r="H24" s="25" t="str">
        <f>IF(OR($E24="",$G24=""),"",$G24-$E24)</f>
        <v/>
      </c>
      <c r="I24" s="16"/>
    </row>
    <row r="25" spans="1:9" ht="19.5" customHeight="1" x14ac:dyDescent="0.25">
      <c r="A25" s="5" t="s">
        <v>597</v>
      </c>
      <c r="B25" s="5"/>
      <c r="C25" s="5"/>
      <c r="D25" s="5"/>
      <c r="E25" s="5"/>
      <c r="F25" s="5"/>
      <c r="G25" s="5"/>
      <c r="H25" s="5"/>
      <c r="I25" s="5"/>
    </row>
    <row r="26" spans="1:9" ht="42" customHeight="1" x14ac:dyDescent="0.25">
      <c r="A26" s="28" t="s">
        <v>598</v>
      </c>
      <c r="B26" s="17" t="s">
        <v>599</v>
      </c>
      <c r="C26" s="29" t="s">
        <v>600</v>
      </c>
      <c r="D26" s="30"/>
      <c r="E26" s="31" t="str">
        <f>IF($D26="","",VALUE(LEFT($D26,1)))</f>
        <v/>
      </c>
      <c r="F26" s="30"/>
      <c r="G26" s="31" t="str">
        <f>IF($F26="","",VALUE(LEFT($F26,1)))</f>
        <v/>
      </c>
      <c r="H26" s="31" t="str">
        <f>IF(OR($E26="",$G26=""),"",$G26-$E26)</f>
        <v/>
      </c>
      <c r="I26" s="17"/>
    </row>
    <row r="27" spans="1:9" ht="42" customHeight="1" x14ac:dyDescent="0.25">
      <c r="A27" s="22" t="s">
        <v>601</v>
      </c>
      <c r="B27" s="16" t="s">
        <v>602</v>
      </c>
      <c r="C27" s="23" t="s">
        <v>603</v>
      </c>
      <c r="D27" s="24"/>
      <c r="E27" s="25" t="str">
        <f>IF($D27="","",VALUE(LEFT($D27,1)))</f>
        <v/>
      </c>
      <c r="F27" s="24"/>
      <c r="G27" s="25" t="str">
        <f>IF($F27="","",VALUE(LEFT($F27,1)))</f>
        <v/>
      </c>
      <c r="H27" s="25" t="str">
        <f>IF(OR($E27="",$G27=""),"",$G27-$E27)</f>
        <v/>
      </c>
      <c r="I27" s="16"/>
    </row>
    <row r="28" spans="1:9" ht="42" customHeight="1" x14ac:dyDescent="0.25">
      <c r="A28" s="28" t="s">
        <v>604</v>
      </c>
      <c r="B28" s="17" t="s">
        <v>605</v>
      </c>
      <c r="C28" s="29" t="s">
        <v>606</v>
      </c>
      <c r="D28" s="30"/>
      <c r="E28" s="31" t="str">
        <f>IF($D28="","",VALUE(LEFT($D28,1)))</f>
        <v/>
      </c>
      <c r="F28" s="30"/>
      <c r="G28" s="31" t="str">
        <f>IF($F28="","",VALUE(LEFT($F28,1)))</f>
        <v/>
      </c>
      <c r="H28" s="31" t="str">
        <f>IF(OR($E28="",$G28=""),"",$G28-$E28)</f>
        <v/>
      </c>
      <c r="I28" s="17"/>
    </row>
  </sheetData>
  <mergeCells count="10">
    <mergeCell ref="A10:I10"/>
    <mergeCell ref="A14:I14"/>
    <mergeCell ref="A18:I18"/>
    <mergeCell ref="A21:I21"/>
    <mergeCell ref="A25:I25"/>
    <mergeCell ref="A1:I1"/>
    <mergeCell ref="A2:I2"/>
    <mergeCell ref="A3:I3"/>
    <mergeCell ref="K4:M4"/>
    <mergeCell ref="A5:I5"/>
  </mergeCells>
  <conditionalFormatting sqref="E5:E28">
    <cfRule type="colorScale" priority="2">
      <colorScale>
        <cfvo type="num" val="0"/>
        <cfvo type="num" val="1.5"/>
        <cfvo type="num" val="3"/>
        <color rgb="FFF1948A"/>
        <color rgb="FFF7DC6F"/>
        <color rgb="FF7DCEA0"/>
      </colorScale>
    </cfRule>
  </conditionalFormatting>
  <conditionalFormatting sqref="H5:H28">
    <cfRule type="expression" dxfId="7" priority="3">
      <formula>AND(ISNUMBER($H5),$H5&gt;0)</formula>
    </cfRule>
    <cfRule type="expression" dxfId="6" priority="4">
      <formula>AND(ISNUMBER($H5),$H5&lt;=0)</formula>
    </cfRule>
  </conditionalFormatting>
  <dataValidations count="1">
    <dataValidation type="list" allowBlank="1" showErrorMessage="1" errorTitle="Valor inválido" error="Selecione um valor da lista de níveis." sqref="D6:D9 F6:F9 D11:D13 F11:F13 D15:D17 F15:F17 D19:D20 F19:F20 D22:D24 F22:F24 D26:D28 F26:F28" xr:uid="{00000000-0002-0000-0600-000000000000}">
      <formula1>"0 - Inexistente,1 - Básico,2 - Intermediário,3 - Avançado"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5B6"/>
  </sheetPr>
  <dimension ref="A1:M2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9" customWidth="1"/>
    <col min="2" max="2" width="48" customWidth="1"/>
    <col min="3" max="3" width="56" customWidth="1"/>
    <col min="4" max="4" width="23" customWidth="1"/>
    <col min="5" max="5" width="8" customWidth="1"/>
    <col min="6" max="6" width="23" customWidth="1"/>
    <col min="7" max="7" width="10" customWidth="1"/>
    <col min="8" max="8" width="7" customWidth="1"/>
    <col min="9" max="9" width="36" customWidth="1"/>
    <col min="10" max="10" width="3" customWidth="1"/>
    <col min="11" max="11" width="34" customWidth="1"/>
    <col min="12" max="13" width="11" customWidth="1"/>
  </cols>
  <sheetData>
    <row r="1" spans="1:13" ht="30" customHeight="1" x14ac:dyDescent="0.25">
      <c r="A1" s="14" t="s">
        <v>607</v>
      </c>
      <c r="B1" s="14"/>
      <c r="C1" s="14"/>
      <c r="D1" s="14"/>
      <c r="E1" s="14"/>
      <c r="F1" s="14"/>
      <c r="G1" s="14"/>
      <c r="H1" s="14"/>
      <c r="I1" s="14"/>
    </row>
    <row r="2" spans="1:13" ht="18" customHeight="1" x14ac:dyDescent="0.25">
      <c r="A2" s="13" t="s">
        <v>608</v>
      </c>
      <c r="B2" s="13"/>
      <c r="C2" s="13"/>
      <c r="D2" s="13"/>
      <c r="E2" s="13"/>
      <c r="F2" s="13"/>
      <c r="G2" s="13"/>
      <c r="H2" s="13"/>
      <c r="I2" s="13"/>
    </row>
    <row r="3" spans="1:13" ht="27.75" customHeight="1" x14ac:dyDescent="0.25">
      <c r="A3" s="8" t="s">
        <v>131</v>
      </c>
      <c r="B3" s="8"/>
      <c r="C3" s="8"/>
      <c r="D3" s="8"/>
      <c r="E3" s="8"/>
      <c r="F3" s="8"/>
      <c r="G3" s="8"/>
      <c r="H3" s="8"/>
      <c r="I3" s="8"/>
    </row>
    <row r="4" spans="1:13" ht="27.75" customHeight="1" x14ac:dyDescent="0.25">
      <c r="A4" s="20" t="s">
        <v>132</v>
      </c>
      <c r="B4" s="20" t="s">
        <v>133</v>
      </c>
      <c r="C4" s="20" t="s">
        <v>134</v>
      </c>
      <c r="D4" s="20" t="s">
        <v>135</v>
      </c>
      <c r="E4" s="20" t="s">
        <v>136</v>
      </c>
      <c r="F4" s="20" t="s">
        <v>137</v>
      </c>
      <c r="G4" s="20" t="s">
        <v>138</v>
      </c>
      <c r="H4" s="20" t="s">
        <v>139</v>
      </c>
      <c r="I4" s="20" t="s">
        <v>140</v>
      </c>
      <c r="K4" s="6" t="s">
        <v>141</v>
      </c>
      <c r="L4" s="6"/>
      <c r="M4" s="6"/>
    </row>
    <row r="5" spans="1:13" ht="19.5" customHeight="1" x14ac:dyDescent="0.25">
      <c r="A5" s="5" t="s">
        <v>609</v>
      </c>
      <c r="B5" s="5"/>
      <c r="C5" s="5"/>
      <c r="D5" s="5"/>
      <c r="E5" s="5"/>
      <c r="F5" s="5"/>
      <c r="G5" s="5"/>
      <c r="H5" s="5"/>
      <c r="I5" s="5"/>
      <c r="K5" s="21" t="s">
        <v>143</v>
      </c>
      <c r="L5" s="21" t="s">
        <v>144</v>
      </c>
      <c r="M5" s="21" t="s">
        <v>145</v>
      </c>
    </row>
    <row r="6" spans="1:13" ht="42" customHeight="1" x14ac:dyDescent="0.25">
      <c r="A6" s="22" t="s">
        <v>610</v>
      </c>
      <c r="B6" s="16" t="s">
        <v>611</v>
      </c>
      <c r="C6" s="23" t="s">
        <v>612</v>
      </c>
      <c r="D6" s="24"/>
      <c r="E6" s="25" t="str">
        <f>IF($D6="","",VALUE(LEFT($D6,1)))</f>
        <v/>
      </c>
      <c r="F6" s="24"/>
      <c r="G6" s="25" t="str">
        <f>IF($F6="","",VALUE(LEFT($F6,1)))</f>
        <v/>
      </c>
      <c r="H6" s="25" t="str">
        <f>IF(OR($E6="",$G6=""),"",$G6-$E6)</f>
        <v/>
      </c>
      <c r="I6" s="16"/>
      <c r="K6" s="26" t="s">
        <v>245</v>
      </c>
      <c r="L6" s="27">
        <f>IFERROR(AVERAGE($E$6:$E$8)/5,0)</f>
        <v>0</v>
      </c>
      <c r="M6" s="27">
        <f>IFERROR(AVERAGE($G$6:$G$8)/5,0)</f>
        <v>0</v>
      </c>
    </row>
    <row r="7" spans="1:13" ht="42" customHeight="1" x14ac:dyDescent="0.25">
      <c r="A7" s="28" t="s">
        <v>613</v>
      </c>
      <c r="B7" s="17" t="s">
        <v>614</v>
      </c>
      <c r="C7" s="29" t="s">
        <v>615</v>
      </c>
      <c r="D7" s="30"/>
      <c r="E7" s="31" t="str">
        <f>IF($D7="","",VALUE(LEFT($D7,1)))</f>
        <v/>
      </c>
      <c r="F7" s="30"/>
      <c r="G7" s="31" t="str">
        <f>IF($F7="","",VALUE(LEFT($F7,1)))</f>
        <v/>
      </c>
      <c r="H7" s="31" t="str">
        <f>IF(OR($E7="",$G7=""),"",$G7-$E7)</f>
        <v/>
      </c>
      <c r="I7" s="17"/>
      <c r="K7" s="26" t="s">
        <v>616</v>
      </c>
      <c r="L7" s="27">
        <f>IFERROR(AVERAGE($E$10:$E$11)/5,0)</f>
        <v>0</v>
      </c>
      <c r="M7" s="27">
        <f>IFERROR(AVERAGE($G$10:$G$11)/5,0)</f>
        <v>0</v>
      </c>
    </row>
    <row r="8" spans="1:13" ht="42" customHeight="1" x14ac:dyDescent="0.25">
      <c r="A8" s="22" t="s">
        <v>617</v>
      </c>
      <c r="B8" s="16" t="s">
        <v>618</v>
      </c>
      <c r="C8" s="23" t="s">
        <v>619</v>
      </c>
      <c r="D8" s="24"/>
      <c r="E8" s="25" t="str">
        <f>IF($D8="","",VALUE(LEFT($D8,1)))</f>
        <v/>
      </c>
      <c r="F8" s="24"/>
      <c r="G8" s="25" t="str">
        <f>IF($F8="","",VALUE(LEFT($F8,1)))</f>
        <v/>
      </c>
      <c r="H8" s="25" t="str">
        <f>IF(OR($E8="",$G8=""),"",$G8-$E8)</f>
        <v/>
      </c>
      <c r="I8" s="16"/>
      <c r="K8" s="26" t="s">
        <v>620</v>
      </c>
      <c r="L8" s="27">
        <f>IFERROR(AVERAGE($E$13:$E$14)/5,0)</f>
        <v>0</v>
      </c>
      <c r="M8" s="27">
        <f>IFERROR(AVERAGE($G$13:$G$14)/5,0)</f>
        <v>0</v>
      </c>
    </row>
    <row r="9" spans="1:13" ht="19.5" customHeight="1" x14ac:dyDescent="0.25">
      <c r="A9" s="5" t="s">
        <v>621</v>
      </c>
      <c r="B9" s="5"/>
      <c r="C9" s="5"/>
      <c r="D9" s="5"/>
      <c r="E9" s="5"/>
      <c r="F9" s="5"/>
      <c r="G9" s="5"/>
      <c r="H9" s="5"/>
      <c r="I9" s="5"/>
      <c r="K9" s="26" t="s">
        <v>622</v>
      </c>
      <c r="L9" s="27">
        <f>IFERROR(AVERAGE($E$16:$E$17)/5,0)</f>
        <v>0</v>
      </c>
      <c r="M9" s="27">
        <f>IFERROR(AVERAGE($G$16:$G$17)/5,0)</f>
        <v>0</v>
      </c>
    </row>
    <row r="10" spans="1:13" ht="42" customHeight="1" x14ac:dyDescent="0.25">
      <c r="A10" s="28" t="s">
        <v>623</v>
      </c>
      <c r="B10" s="17" t="s">
        <v>624</v>
      </c>
      <c r="C10" s="29" t="s">
        <v>625</v>
      </c>
      <c r="D10" s="30"/>
      <c r="E10" s="31" t="str">
        <f>IF($D10="","",VALUE(LEFT($D10,1)))</f>
        <v/>
      </c>
      <c r="F10" s="30"/>
      <c r="G10" s="31" t="str">
        <f>IF($F10="","",VALUE(LEFT($F10,1)))</f>
        <v/>
      </c>
      <c r="H10" s="31" t="str">
        <f>IF(OR($E10="",$G10=""),"",$G10-$E10)</f>
        <v/>
      </c>
      <c r="I10" s="17"/>
      <c r="K10" s="26" t="s">
        <v>626</v>
      </c>
      <c r="L10" s="27">
        <f>IFERROR(AVERAGE($E$19:$E$21)/5,0)</f>
        <v>0</v>
      </c>
      <c r="M10" s="27">
        <f>IFERROR(AVERAGE($G$19:$G$21)/5,0)</f>
        <v>0</v>
      </c>
    </row>
    <row r="11" spans="1:13" ht="42" customHeight="1" x14ac:dyDescent="0.25">
      <c r="A11" s="22" t="s">
        <v>627</v>
      </c>
      <c r="B11" s="16" t="s">
        <v>628</v>
      </c>
      <c r="C11" s="23" t="s">
        <v>629</v>
      </c>
      <c r="D11" s="24"/>
      <c r="E11" s="25" t="str">
        <f>IF($D11="","",VALUE(LEFT($D11,1)))</f>
        <v/>
      </c>
      <c r="F11" s="24"/>
      <c r="G11" s="25" t="str">
        <f>IF($F11="","",VALUE(LEFT($F11,1)))</f>
        <v/>
      </c>
      <c r="H11" s="25" t="str">
        <f>IF(OR($E11="",$G11=""),"",$G11-$E11)</f>
        <v/>
      </c>
      <c r="I11" s="16"/>
    </row>
    <row r="12" spans="1:13" ht="19.5" customHeight="1" x14ac:dyDescent="0.25">
      <c r="A12" s="5" t="s">
        <v>630</v>
      </c>
      <c r="B12" s="5"/>
      <c r="C12" s="5"/>
      <c r="D12" s="5"/>
      <c r="E12" s="5"/>
      <c r="F12" s="5"/>
      <c r="G12" s="5"/>
      <c r="H12" s="5"/>
      <c r="I12" s="5"/>
    </row>
    <row r="13" spans="1:13" ht="42" customHeight="1" x14ac:dyDescent="0.25">
      <c r="A13" s="28" t="s">
        <v>631</v>
      </c>
      <c r="B13" s="17" t="s">
        <v>632</v>
      </c>
      <c r="C13" s="29" t="s">
        <v>633</v>
      </c>
      <c r="D13" s="30"/>
      <c r="E13" s="31" t="str">
        <f>IF($D13="","",VALUE(LEFT($D13,1)))</f>
        <v/>
      </c>
      <c r="F13" s="30"/>
      <c r="G13" s="31" t="str">
        <f>IF($F13="","",VALUE(LEFT($F13,1)))</f>
        <v/>
      </c>
      <c r="H13" s="31" t="str">
        <f>IF(OR($E13="",$G13=""),"",$G13-$E13)</f>
        <v/>
      </c>
      <c r="I13" s="17"/>
    </row>
    <row r="14" spans="1:13" ht="42" customHeight="1" x14ac:dyDescent="0.25">
      <c r="A14" s="22" t="s">
        <v>634</v>
      </c>
      <c r="B14" s="16" t="s">
        <v>635</v>
      </c>
      <c r="C14" s="23" t="s">
        <v>636</v>
      </c>
      <c r="D14" s="24"/>
      <c r="E14" s="25" t="str">
        <f>IF($D14="","",VALUE(LEFT($D14,1)))</f>
        <v/>
      </c>
      <c r="F14" s="24"/>
      <c r="G14" s="25" t="str">
        <f>IF($F14="","",VALUE(LEFT($F14,1)))</f>
        <v/>
      </c>
      <c r="H14" s="25" t="str">
        <f>IF(OR($E14="",$G14=""),"",$G14-$E14)</f>
        <v/>
      </c>
      <c r="I14" s="16"/>
    </row>
    <row r="15" spans="1:13" ht="19.5" customHeight="1" x14ac:dyDescent="0.25">
      <c r="A15" s="5" t="s">
        <v>637</v>
      </c>
      <c r="B15" s="5"/>
      <c r="C15" s="5"/>
      <c r="D15" s="5"/>
      <c r="E15" s="5"/>
      <c r="F15" s="5"/>
      <c r="G15" s="5"/>
      <c r="H15" s="5"/>
      <c r="I15" s="5"/>
    </row>
    <row r="16" spans="1:13" ht="42" customHeight="1" x14ac:dyDescent="0.25">
      <c r="A16" s="28" t="s">
        <v>638</v>
      </c>
      <c r="B16" s="17" t="s">
        <v>639</v>
      </c>
      <c r="C16" s="29" t="s">
        <v>640</v>
      </c>
      <c r="D16" s="30"/>
      <c r="E16" s="31" t="str">
        <f>IF($D16="","",VALUE(LEFT($D16,1)))</f>
        <v/>
      </c>
      <c r="F16" s="30"/>
      <c r="G16" s="31" t="str">
        <f>IF($F16="","",VALUE(LEFT($F16,1)))</f>
        <v/>
      </c>
      <c r="H16" s="31" t="str">
        <f>IF(OR($E16="",$G16=""),"",$G16-$E16)</f>
        <v/>
      </c>
      <c r="I16" s="17"/>
    </row>
    <row r="17" spans="1:9" ht="42" customHeight="1" x14ac:dyDescent="0.25">
      <c r="A17" s="22" t="s">
        <v>641</v>
      </c>
      <c r="B17" s="16" t="s">
        <v>642</v>
      </c>
      <c r="C17" s="23" t="s">
        <v>643</v>
      </c>
      <c r="D17" s="24"/>
      <c r="E17" s="25" t="str">
        <f>IF($D17="","",VALUE(LEFT($D17,1)))</f>
        <v/>
      </c>
      <c r="F17" s="24"/>
      <c r="G17" s="25" t="str">
        <f>IF($F17="","",VALUE(LEFT($F17,1)))</f>
        <v/>
      </c>
      <c r="H17" s="25" t="str">
        <f>IF(OR($E17="",$G17=""),"",$G17-$E17)</f>
        <v/>
      </c>
      <c r="I17" s="16"/>
    </row>
    <row r="18" spans="1:9" ht="19.5" customHeight="1" x14ac:dyDescent="0.25">
      <c r="A18" s="5" t="s">
        <v>644</v>
      </c>
      <c r="B18" s="5"/>
      <c r="C18" s="5"/>
      <c r="D18" s="5"/>
      <c r="E18" s="5"/>
      <c r="F18" s="5"/>
      <c r="G18" s="5"/>
      <c r="H18" s="5"/>
      <c r="I18" s="5"/>
    </row>
    <row r="19" spans="1:9" ht="42" customHeight="1" x14ac:dyDescent="0.25">
      <c r="A19" s="28" t="s">
        <v>645</v>
      </c>
      <c r="B19" s="17" t="s">
        <v>646</v>
      </c>
      <c r="C19" s="29" t="s">
        <v>647</v>
      </c>
      <c r="D19" s="30"/>
      <c r="E19" s="31" t="str">
        <f>IF($D19="","",VALUE(LEFT($D19,1)))</f>
        <v/>
      </c>
      <c r="F19" s="30"/>
      <c r="G19" s="31" t="str">
        <f>IF($F19="","",VALUE(LEFT($F19,1)))</f>
        <v/>
      </c>
      <c r="H19" s="31" t="str">
        <f>IF(OR($E19="",$G19=""),"",$G19-$E19)</f>
        <v/>
      </c>
      <c r="I19" s="17"/>
    </row>
    <row r="20" spans="1:9" ht="42" customHeight="1" x14ac:dyDescent="0.25">
      <c r="A20" s="22" t="s">
        <v>648</v>
      </c>
      <c r="B20" s="16" t="s">
        <v>649</v>
      </c>
      <c r="C20" s="23" t="s">
        <v>650</v>
      </c>
      <c r="D20" s="24"/>
      <c r="E20" s="25" t="str">
        <f>IF($D20="","",VALUE(LEFT($D20,1)))</f>
        <v/>
      </c>
      <c r="F20" s="24"/>
      <c r="G20" s="25" t="str">
        <f>IF($F20="","",VALUE(LEFT($F20,1)))</f>
        <v/>
      </c>
      <c r="H20" s="25" t="str">
        <f>IF(OR($E20="",$G20=""),"",$G20-$E20)</f>
        <v/>
      </c>
      <c r="I20" s="16"/>
    </row>
    <row r="21" spans="1:9" ht="42" customHeight="1" x14ac:dyDescent="0.25">
      <c r="A21" s="28" t="s">
        <v>651</v>
      </c>
      <c r="B21" s="17" t="s">
        <v>652</v>
      </c>
      <c r="C21" s="29" t="s">
        <v>653</v>
      </c>
      <c r="D21" s="30"/>
      <c r="E21" s="31" t="str">
        <f>IF($D21="","",VALUE(LEFT($D21,1)))</f>
        <v/>
      </c>
      <c r="F21" s="30"/>
      <c r="G21" s="31" t="str">
        <f>IF($F21="","",VALUE(LEFT($F21,1)))</f>
        <v/>
      </c>
      <c r="H21" s="31" t="str">
        <f>IF(OR($E21="",$G21=""),"",$G21-$E21)</f>
        <v/>
      </c>
      <c r="I21" s="17"/>
    </row>
  </sheetData>
  <mergeCells count="9">
    <mergeCell ref="A9:I9"/>
    <mergeCell ref="A12:I12"/>
    <mergeCell ref="A15:I15"/>
    <mergeCell ref="A18:I18"/>
    <mergeCell ref="A1:I1"/>
    <mergeCell ref="A2:I2"/>
    <mergeCell ref="A3:I3"/>
    <mergeCell ref="K4:M4"/>
    <mergeCell ref="A5:I5"/>
  </mergeCells>
  <conditionalFormatting sqref="E5:E21">
    <cfRule type="colorScale" priority="2">
      <colorScale>
        <cfvo type="num" val="0"/>
        <cfvo type="num" val="2.5"/>
        <cfvo type="num" val="5"/>
        <color rgb="FFF1948A"/>
        <color rgb="FFF7DC6F"/>
        <color rgb="FF7DCEA0"/>
      </colorScale>
    </cfRule>
  </conditionalFormatting>
  <conditionalFormatting sqref="H5:H21">
    <cfRule type="expression" dxfId="5" priority="3">
      <formula>AND(ISNUMBER($H5),$H5&gt;0)</formula>
    </cfRule>
    <cfRule type="expression" dxfId="4" priority="4">
      <formula>AND(ISNUMBER($H5),$H5&lt;=0)</formula>
    </cfRule>
  </conditionalFormatting>
  <dataValidations count="1">
    <dataValidation type="list" allowBlank="1" showErrorMessage="1" errorTitle="Valor inválido" error="Selecione um valor da lista de níveis." sqref="D6:D8 F6:F8 D10:D11 F10:F11 D13:D14 F13:F14 D16:D17 F16:F17 D19:D21 F19:F21" xr:uid="{00000000-0002-0000-0700-000000000000}">
      <formula1>"0 - Inexistente,1 - Inicial (ad hoc),2 - Repetível,3 - Definido,4 - Gerenciado e medido,5 - Otimizado"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5B6"/>
  </sheetPr>
  <dimension ref="A1:M24"/>
  <sheetViews>
    <sheetView showGridLines="0" zoomScaleNormal="100" workbookViewId="0">
      <pane ySplit="4" topLeftCell="A5" activePane="bottomLeft" state="frozen"/>
      <selection pane="bottomLeft" sqref="A1:I1"/>
    </sheetView>
  </sheetViews>
  <sheetFormatPr defaultColWidth="8.7109375" defaultRowHeight="15" x14ac:dyDescent="0.25"/>
  <cols>
    <col min="1" max="1" width="9" customWidth="1"/>
    <col min="2" max="2" width="48" customWidth="1"/>
    <col min="3" max="3" width="56" customWidth="1"/>
    <col min="4" max="4" width="23" customWidth="1"/>
    <col min="5" max="5" width="8" customWidth="1"/>
    <col min="6" max="6" width="23" customWidth="1"/>
    <col min="7" max="7" width="10" customWidth="1"/>
    <col min="8" max="8" width="7" customWidth="1"/>
    <col min="9" max="9" width="36" customWidth="1"/>
    <col min="10" max="10" width="3" customWidth="1"/>
    <col min="11" max="11" width="34" customWidth="1"/>
    <col min="12" max="13" width="11" customWidth="1"/>
  </cols>
  <sheetData>
    <row r="1" spans="1:13" ht="30" customHeight="1" x14ac:dyDescent="0.25">
      <c r="A1" s="14" t="s">
        <v>654</v>
      </c>
      <c r="B1" s="14"/>
      <c r="C1" s="14"/>
      <c r="D1" s="14"/>
      <c r="E1" s="14"/>
      <c r="F1" s="14"/>
      <c r="G1" s="14"/>
      <c r="H1" s="14"/>
      <c r="I1" s="14"/>
    </row>
    <row r="2" spans="1:13" ht="18" customHeight="1" x14ac:dyDescent="0.25">
      <c r="A2" s="13" t="s">
        <v>655</v>
      </c>
      <c r="B2" s="13"/>
      <c r="C2" s="13"/>
      <c r="D2" s="13"/>
      <c r="E2" s="13"/>
      <c r="F2" s="13"/>
      <c r="G2" s="13"/>
      <c r="H2" s="13"/>
      <c r="I2" s="13"/>
    </row>
    <row r="3" spans="1:13" ht="27.75" customHeight="1" x14ac:dyDescent="0.25">
      <c r="A3" s="8" t="s">
        <v>131</v>
      </c>
      <c r="B3" s="8"/>
      <c r="C3" s="8"/>
      <c r="D3" s="8"/>
      <c r="E3" s="8"/>
      <c r="F3" s="8"/>
      <c r="G3" s="8"/>
      <c r="H3" s="8"/>
      <c r="I3" s="8"/>
    </row>
    <row r="4" spans="1:13" ht="27.75" customHeight="1" x14ac:dyDescent="0.25">
      <c r="A4" s="20" t="s">
        <v>132</v>
      </c>
      <c r="B4" s="20" t="s">
        <v>133</v>
      </c>
      <c r="C4" s="20" t="s">
        <v>134</v>
      </c>
      <c r="D4" s="20" t="s">
        <v>135</v>
      </c>
      <c r="E4" s="20" t="s">
        <v>136</v>
      </c>
      <c r="F4" s="20" t="s">
        <v>137</v>
      </c>
      <c r="G4" s="20" t="s">
        <v>138</v>
      </c>
      <c r="H4" s="20" t="s">
        <v>139</v>
      </c>
      <c r="I4" s="20" t="s">
        <v>140</v>
      </c>
      <c r="K4" s="6" t="s">
        <v>141</v>
      </c>
      <c r="L4" s="6"/>
      <c r="M4" s="6"/>
    </row>
    <row r="5" spans="1:13" ht="19.5" customHeight="1" x14ac:dyDescent="0.25">
      <c r="A5" s="5" t="s">
        <v>245</v>
      </c>
      <c r="B5" s="5"/>
      <c r="C5" s="5"/>
      <c r="D5" s="5"/>
      <c r="E5" s="5"/>
      <c r="F5" s="5"/>
      <c r="G5" s="5"/>
      <c r="H5" s="5"/>
      <c r="I5" s="5"/>
      <c r="K5" s="21" t="s">
        <v>143</v>
      </c>
      <c r="L5" s="21" t="s">
        <v>144</v>
      </c>
      <c r="M5" s="21" t="s">
        <v>145</v>
      </c>
    </row>
    <row r="6" spans="1:13" ht="42" customHeight="1" x14ac:dyDescent="0.25">
      <c r="A6" s="22" t="s">
        <v>656</v>
      </c>
      <c r="B6" s="16" t="s">
        <v>657</v>
      </c>
      <c r="C6" s="23" t="s">
        <v>658</v>
      </c>
      <c r="D6" s="24"/>
      <c r="E6" s="25" t="str">
        <f>IF($D6="","",VALUE(LEFT($D6,1)))</f>
        <v/>
      </c>
      <c r="F6" s="24"/>
      <c r="G6" s="25" t="str">
        <f>IF($F6="","",VALUE(LEFT($F6,1)))</f>
        <v/>
      </c>
      <c r="H6" s="25" t="str">
        <f>IF(OR($E6="",$G6=""),"",$G6-$E6)</f>
        <v/>
      </c>
      <c r="I6" s="16"/>
      <c r="K6" s="26" t="s">
        <v>245</v>
      </c>
      <c r="L6" s="27">
        <f>IFERROR(AVERAGE($E$6:$E$8)/5,0)</f>
        <v>0</v>
      </c>
      <c r="M6" s="27">
        <f>IFERROR(AVERAGE($G$6:$G$8)/5,0)</f>
        <v>0</v>
      </c>
    </row>
    <row r="7" spans="1:13" ht="42" customHeight="1" x14ac:dyDescent="0.25">
      <c r="A7" s="28" t="s">
        <v>659</v>
      </c>
      <c r="B7" s="17" t="s">
        <v>660</v>
      </c>
      <c r="C7" s="29" t="s">
        <v>661</v>
      </c>
      <c r="D7" s="30"/>
      <c r="E7" s="31" t="str">
        <f>IF($D7="","",VALUE(LEFT($D7,1)))</f>
        <v/>
      </c>
      <c r="F7" s="30"/>
      <c r="G7" s="31" t="str">
        <f>IF($F7="","",VALUE(LEFT($F7,1)))</f>
        <v/>
      </c>
      <c r="H7" s="31" t="str">
        <f>IF(OR($E7="",$G7=""),"",$G7-$E7)</f>
        <v/>
      </c>
      <c r="I7" s="17"/>
      <c r="K7" s="26" t="s">
        <v>662</v>
      </c>
      <c r="L7" s="27">
        <f>IFERROR(AVERAGE($E$10:$E$12)/5,0)</f>
        <v>0</v>
      </c>
      <c r="M7" s="27">
        <f>IFERROR(AVERAGE($G$10:$G$12)/5,0)</f>
        <v>0</v>
      </c>
    </row>
    <row r="8" spans="1:13" ht="42" customHeight="1" x14ac:dyDescent="0.25">
      <c r="A8" s="22" t="s">
        <v>663</v>
      </c>
      <c r="B8" s="16" t="s">
        <v>664</v>
      </c>
      <c r="C8" s="23" t="s">
        <v>665</v>
      </c>
      <c r="D8" s="24"/>
      <c r="E8" s="25" t="str">
        <f>IF($D8="","",VALUE(LEFT($D8,1)))</f>
        <v/>
      </c>
      <c r="F8" s="24"/>
      <c r="G8" s="25" t="str">
        <f>IF($F8="","",VALUE(LEFT($F8,1)))</f>
        <v/>
      </c>
      <c r="H8" s="25" t="str">
        <f>IF(OR($E8="",$G8=""),"",$G8-$E8)</f>
        <v/>
      </c>
      <c r="I8" s="16"/>
      <c r="K8" s="26" t="s">
        <v>666</v>
      </c>
      <c r="L8" s="27">
        <f>IFERROR(AVERAGE($E$14:$E$16)/5,0)</f>
        <v>0</v>
      </c>
      <c r="M8" s="27">
        <f>IFERROR(AVERAGE($G$14:$G$16)/5,0)</f>
        <v>0</v>
      </c>
    </row>
    <row r="9" spans="1:13" ht="19.5" customHeight="1" x14ac:dyDescent="0.25">
      <c r="A9" s="5" t="s">
        <v>662</v>
      </c>
      <c r="B9" s="5"/>
      <c r="C9" s="5"/>
      <c r="D9" s="5"/>
      <c r="E9" s="5"/>
      <c r="F9" s="5"/>
      <c r="G9" s="5"/>
      <c r="H9" s="5"/>
      <c r="I9" s="5"/>
      <c r="K9" s="26" t="s">
        <v>667</v>
      </c>
      <c r="L9" s="27">
        <f>IFERROR(AVERAGE($E$18:$E$20)/5,0)</f>
        <v>0</v>
      </c>
      <c r="M9" s="27">
        <f>IFERROR(AVERAGE($G$18:$G$20)/5,0)</f>
        <v>0</v>
      </c>
    </row>
    <row r="10" spans="1:13" ht="42" customHeight="1" x14ac:dyDescent="0.25">
      <c r="A10" s="28" t="s">
        <v>668</v>
      </c>
      <c r="B10" s="17" t="s">
        <v>669</v>
      </c>
      <c r="C10" s="29" t="s">
        <v>670</v>
      </c>
      <c r="D10" s="30"/>
      <c r="E10" s="31" t="str">
        <f>IF($D10="","",VALUE(LEFT($D10,1)))</f>
        <v/>
      </c>
      <c r="F10" s="30"/>
      <c r="G10" s="31" t="str">
        <f>IF($F10="","",VALUE(LEFT($F10,1)))</f>
        <v/>
      </c>
      <c r="H10" s="31" t="str">
        <f>IF(OR($E10="",$G10=""),"",$G10-$E10)</f>
        <v/>
      </c>
      <c r="I10" s="17"/>
      <c r="K10" s="26" t="s">
        <v>671</v>
      </c>
      <c r="L10" s="27">
        <f>IFERROR(AVERAGE($E$22:$E$24)/5,0)</f>
        <v>0</v>
      </c>
      <c r="M10" s="27">
        <f>IFERROR(AVERAGE($G$22:$G$24)/5,0)</f>
        <v>0</v>
      </c>
    </row>
    <row r="11" spans="1:13" ht="42" customHeight="1" x14ac:dyDescent="0.25">
      <c r="A11" s="22" t="s">
        <v>672</v>
      </c>
      <c r="B11" s="16" t="s">
        <v>673</v>
      </c>
      <c r="C11" s="23" t="s">
        <v>674</v>
      </c>
      <c r="D11" s="24"/>
      <c r="E11" s="25" t="str">
        <f>IF($D11="","",VALUE(LEFT($D11,1)))</f>
        <v/>
      </c>
      <c r="F11" s="24"/>
      <c r="G11" s="25" t="str">
        <f>IF($F11="","",VALUE(LEFT($F11,1)))</f>
        <v/>
      </c>
      <c r="H11" s="25" t="str">
        <f>IF(OR($E11="",$G11=""),"",$G11-$E11)</f>
        <v/>
      </c>
      <c r="I11" s="16"/>
    </row>
    <row r="12" spans="1:13" ht="42" customHeight="1" x14ac:dyDescent="0.25">
      <c r="A12" s="28" t="s">
        <v>675</v>
      </c>
      <c r="B12" s="17" t="s">
        <v>676</v>
      </c>
      <c r="C12" s="29" t="s">
        <v>677</v>
      </c>
      <c r="D12" s="30"/>
      <c r="E12" s="31" t="str">
        <f>IF($D12="","",VALUE(LEFT($D12,1)))</f>
        <v/>
      </c>
      <c r="F12" s="30"/>
      <c r="G12" s="31" t="str">
        <f>IF($F12="","",VALUE(LEFT($F12,1)))</f>
        <v/>
      </c>
      <c r="H12" s="31" t="str">
        <f>IF(OR($E12="",$G12=""),"",$G12-$E12)</f>
        <v/>
      </c>
      <c r="I12" s="17"/>
    </row>
    <row r="13" spans="1:13" ht="19.5" customHeight="1" x14ac:dyDescent="0.25">
      <c r="A13" s="5" t="s">
        <v>666</v>
      </c>
      <c r="B13" s="5"/>
      <c r="C13" s="5"/>
      <c r="D13" s="5"/>
      <c r="E13" s="5"/>
      <c r="F13" s="5"/>
      <c r="G13" s="5"/>
      <c r="H13" s="5"/>
      <c r="I13" s="5"/>
    </row>
    <row r="14" spans="1:13" ht="42" customHeight="1" x14ac:dyDescent="0.25">
      <c r="A14" s="22" t="s">
        <v>678</v>
      </c>
      <c r="B14" s="16" t="s">
        <v>679</v>
      </c>
      <c r="C14" s="23" t="s">
        <v>680</v>
      </c>
      <c r="D14" s="24"/>
      <c r="E14" s="25" t="str">
        <f>IF($D14="","",VALUE(LEFT($D14,1)))</f>
        <v/>
      </c>
      <c r="F14" s="24"/>
      <c r="G14" s="25" t="str">
        <f>IF($F14="","",VALUE(LEFT($F14,1)))</f>
        <v/>
      </c>
      <c r="H14" s="25" t="str">
        <f>IF(OR($E14="",$G14=""),"",$G14-$E14)</f>
        <v/>
      </c>
      <c r="I14" s="16"/>
    </row>
    <row r="15" spans="1:13" ht="42" customHeight="1" x14ac:dyDescent="0.25">
      <c r="A15" s="28" t="s">
        <v>681</v>
      </c>
      <c r="B15" s="17" t="s">
        <v>682</v>
      </c>
      <c r="C15" s="29" t="s">
        <v>683</v>
      </c>
      <c r="D15" s="30"/>
      <c r="E15" s="31" t="str">
        <f>IF($D15="","",VALUE(LEFT($D15,1)))</f>
        <v/>
      </c>
      <c r="F15" s="30"/>
      <c r="G15" s="31" t="str">
        <f>IF($F15="","",VALUE(LEFT($F15,1)))</f>
        <v/>
      </c>
      <c r="H15" s="31" t="str">
        <f>IF(OR($E15="",$G15=""),"",$G15-$E15)</f>
        <v/>
      </c>
      <c r="I15" s="17"/>
    </row>
    <row r="16" spans="1:13" ht="42" customHeight="1" x14ac:dyDescent="0.25">
      <c r="A16" s="22" t="s">
        <v>684</v>
      </c>
      <c r="B16" s="16" t="s">
        <v>685</v>
      </c>
      <c r="C16" s="23" t="s">
        <v>686</v>
      </c>
      <c r="D16" s="24"/>
      <c r="E16" s="25" t="str">
        <f>IF($D16="","",VALUE(LEFT($D16,1)))</f>
        <v/>
      </c>
      <c r="F16" s="24"/>
      <c r="G16" s="25" t="str">
        <f>IF($F16="","",VALUE(LEFT($F16,1)))</f>
        <v/>
      </c>
      <c r="H16" s="25" t="str">
        <f>IF(OR($E16="",$G16=""),"",$G16-$E16)</f>
        <v/>
      </c>
      <c r="I16" s="16"/>
    </row>
    <row r="17" spans="1:9" ht="19.5" customHeight="1" x14ac:dyDescent="0.25">
      <c r="A17" s="5" t="s">
        <v>667</v>
      </c>
      <c r="B17" s="5"/>
      <c r="C17" s="5"/>
      <c r="D17" s="5"/>
      <c r="E17" s="5"/>
      <c r="F17" s="5"/>
      <c r="G17" s="5"/>
      <c r="H17" s="5"/>
      <c r="I17" s="5"/>
    </row>
    <row r="18" spans="1:9" ht="42" customHeight="1" x14ac:dyDescent="0.25">
      <c r="A18" s="28" t="s">
        <v>687</v>
      </c>
      <c r="B18" s="17" t="s">
        <v>688</v>
      </c>
      <c r="C18" s="29" t="s">
        <v>689</v>
      </c>
      <c r="D18" s="30"/>
      <c r="E18" s="31" t="str">
        <f>IF($D18="","",VALUE(LEFT($D18,1)))</f>
        <v/>
      </c>
      <c r="F18" s="30"/>
      <c r="G18" s="31" t="str">
        <f>IF($F18="","",VALUE(LEFT($F18,1)))</f>
        <v/>
      </c>
      <c r="H18" s="31" t="str">
        <f>IF(OR($E18="",$G18=""),"",$G18-$E18)</f>
        <v/>
      </c>
      <c r="I18" s="17"/>
    </row>
    <row r="19" spans="1:9" ht="42" customHeight="1" x14ac:dyDescent="0.25">
      <c r="A19" s="22" t="s">
        <v>690</v>
      </c>
      <c r="B19" s="16" t="s">
        <v>691</v>
      </c>
      <c r="C19" s="23" t="s">
        <v>692</v>
      </c>
      <c r="D19" s="24"/>
      <c r="E19" s="25" t="str">
        <f>IF($D19="","",VALUE(LEFT($D19,1)))</f>
        <v/>
      </c>
      <c r="F19" s="24"/>
      <c r="G19" s="25" t="str">
        <f>IF($F19="","",VALUE(LEFT($F19,1)))</f>
        <v/>
      </c>
      <c r="H19" s="25" t="str">
        <f>IF(OR($E19="",$G19=""),"",$G19-$E19)</f>
        <v/>
      </c>
      <c r="I19" s="16"/>
    </row>
    <row r="20" spans="1:9" ht="42" customHeight="1" x14ac:dyDescent="0.25">
      <c r="A20" s="28" t="s">
        <v>693</v>
      </c>
      <c r="B20" s="17" t="s">
        <v>694</v>
      </c>
      <c r="C20" s="29" t="s">
        <v>695</v>
      </c>
      <c r="D20" s="30"/>
      <c r="E20" s="31" t="str">
        <f>IF($D20="","",VALUE(LEFT($D20,1)))</f>
        <v/>
      </c>
      <c r="F20" s="30"/>
      <c r="G20" s="31" t="str">
        <f>IF($F20="","",VALUE(LEFT($F20,1)))</f>
        <v/>
      </c>
      <c r="H20" s="31" t="str">
        <f>IF(OR($E20="",$G20=""),"",$G20-$E20)</f>
        <v/>
      </c>
      <c r="I20" s="17"/>
    </row>
    <row r="21" spans="1:9" ht="19.5" customHeight="1" x14ac:dyDescent="0.25">
      <c r="A21" s="5" t="s">
        <v>671</v>
      </c>
      <c r="B21" s="5"/>
      <c r="C21" s="5"/>
      <c r="D21" s="5"/>
      <c r="E21" s="5"/>
      <c r="F21" s="5"/>
      <c r="G21" s="5"/>
      <c r="H21" s="5"/>
      <c r="I21" s="5"/>
    </row>
    <row r="22" spans="1:9" ht="42" customHeight="1" x14ac:dyDescent="0.25">
      <c r="A22" s="22" t="s">
        <v>696</v>
      </c>
      <c r="B22" s="16" t="s">
        <v>697</v>
      </c>
      <c r="C22" s="23" t="s">
        <v>698</v>
      </c>
      <c r="D22" s="24"/>
      <c r="E22" s="25" t="str">
        <f>IF($D22="","",VALUE(LEFT($D22,1)))</f>
        <v/>
      </c>
      <c r="F22" s="24"/>
      <c r="G22" s="25" t="str">
        <f>IF($F22="","",VALUE(LEFT($F22,1)))</f>
        <v/>
      </c>
      <c r="H22" s="25" t="str">
        <f>IF(OR($E22="",$G22=""),"",$G22-$E22)</f>
        <v/>
      </c>
      <c r="I22" s="16"/>
    </row>
    <row r="23" spans="1:9" ht="42" customHeight="1" x14ac:dyDescent="0.25">
      <c r="A23" s="28" t="s">
        <v>699</v>
      </c>
      <c r="B23" s="17" t="s">
        <v>700</v>
      </c>
      <c r="C23" s="29" t="s">
        <v>701</v>
      </c>
      <c r="D23" s="30"/>
      <c r="E23" s="31" t="str">
        <f>IF($D23="","",VALUE(LEFT($D23,1)))</f>
        <v/>
      </c>
      <c r="F23" s="30"/>
      <c r="G23" s="31" t="str">
        <f>IF($F23="","",VALUE(LEFT($F23,1)))</f>
        <v/>
      </c>
      <c r="H23" s="31" t="str">
        <f>IF(OR($E23="",$G23=""),"",$G23-$E23)</f>
        <v/>
      </c>
      <c r="I23" s="17"/>
    </row>
    <row r="24" spans="1:9" ht="42" customHeight="1" x14ac:dyDescent="0.25">
      <c r="A24" s="22" t="s">
        <v>702</v>
      </c>
      <c r="B24" s="16" t="s">
        <v>703</v>
      </c>
      <c r="C24" s="23" t="s">
        <v>704</v>
      </c>
      <c r="D24" s="24"/>
      <c r="E24" s="25" t="str">
        <f>IF($D24="","",VALUE(LEFT($D24,1)))</f>
        <v/>
      </c>
      <c r="F24" s="24"/>
      <c r="G24" s="25" t="str">
        <f>IF($F24="","",VALUE(LEFT($F24,1)))</f>
        <v/>
      </c>
      <c r="H24" s="25" t="str">
        <f>IF(OR($E24="",$G24=""),"",$G24-$E24)</f>
        <v/>
      </c>
      <c r="I24" s="16"/>
    </row>
  </sheetData>
  <mergeCells count="9">
    <mergeCell ref="A9:I9"/>
    <mergeCell ref="A13:I13"/>
    <mergeCell ref="A17:I17"/>
    <mergeCell ref="A21:I21"/>
    <mergeCell ref="A1:I1"/>
    <mergeCell ref="A2:I2"/>
    <mergeCell ref="A3:I3"/>
    <mergeCell ref="K4:M4"/>
    <mergeCell ref="A5:I5"/>
  </mergeCells>
  <conditionalFormatting sqref="E5:E24">
    <cfRule type="colorScale" priority="2">
      <colorScale>
        <cfvo type="num" val="1"/>
        <cfvo type="num" val="3"/>
        <cfvo type="num" val="5"/>
        <color rgb="FFF1948A"/>
        <color rgb="FFF7DC6F"/>
        <color rgb="FF7DCEA0"/>
      </colorScale>
    </cfRule>
  </conditionalFormatting>
  <conditionalFormatting sqref="H5:H24">
    <cfRule type="expression" dxfId="3" priority="3">
      <formula>AND(ISNUMBER($H5),$H5&gt;0)</formula>
    </cfRule>
    <cfRule type="expression" dxfId="2" priority="4">
      <formula>AND(ISNUMBER($H5),$H5&lt;=0)</formula>
    </cfRule>
  </conditionalFormatting>
  <dataValidations count="1">
    <dataValidation type="list" allowBlank="1" showErrorMessage="1" errorTitle="Valor inválido" error="Selecione um valor da lista de níveis." sqref="D6:D8 F6:F8 D10:D12 F10:F12 D14:D16 F14:F16 D18:D20 F18:F20 D22:D24 F22:F24" xr:uid="{00000000-0002-0000-0800-000000000000}">
      <formula1>"1 - Inicial,2 - Gerenciado,3 - Definido,4 - Medido quantitativamente,5 - Otimizado"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75B6"/>
  </sheetPr>
  <dimension ref="A1:M16"/>
  <sheetViews>
    <sheetView showGridLines="0" zoomScaleNormal="100" workbookViewId="0">
      <pane ySplit="4" topLeftCell="A5" activePane="bottomLeft" state="frozen"/>
      <selection pane="bottomLeft" sqref="A1:I1"/>
    </sheetView>
  </sheetViews>
  <sheetFormatPr defaultColWidth="8.7109375" defaultRowHeight="15" x14ac:dyDescent="0.25"/>
  <cols>
    <col min="1" max="1" width="9" customWidth="1"/>
    <col min="2" max="2" width="48" customWidth="1"/>
    <col min="3" max="3" width="56" customWidth="1"/>
    <col min="4" max="4" width="23" customWidth="1"/>
    <col min="5" max="5" width="8" customWidth="1"/>
    <col min="6" max="6" width="23" customWidth="1"/>
    <col min="7" max="7" width="10" customWidth="1"/>
    <col min="8" max="8" width="7" customWidth="1"/>
    <col min="9" max="9" width="36" customWidth="1"/>
    <col min="10" max="10" width="3" customWidth="1"/>
    <col min="11" max="11" width="34" customWidth="1"/>
    <col min="12" max="13" width="11" customWidth="1"/>
  </cols>
  <sheetData>
    <row r="1" spans="1:13" ht="30" customHeight="1" x14ac:dyDescent="0.25">
      <c r="A1" s="14" t="s">
        <v>705</v>
      </c>
      <c r="B1" s="14"/>
      <c r="C1" s="14"/>
      <c r="D1" s="14"/>
      <c r="E1" s="14"/>
      <c r="F1" s="14"/>
      <c r="G1" s="14"/>
      <c r="H1" s="14"/>
      <c r="I1" s="14"/>
    </row>
    <row r="2" spans="1:13" ht="18" customHeight="1" x14ac:dyDescent="0.25">
      <c r="A2" s="13" t="s">
        <v>706</v>
      </c>
      <c r="B2" s="13"/>
      <c r="C2" s="13"/>
      <c r="D2" s="13"/>
      <c r="E2" s="13"/>
      <c r="F2" s="13"/>
      <c r="G2" s="13"/>
      <c r="H2" s="13"/>
      <c r="I2" s="13"/>
    </row>
    <row r="3" spans="1:13" ht="27.75" customHeight="1" x14ac:dyDescent="0.25">
      <c r="A3" s="8" t="s">
        <v>131</v>
      </c>
      <c r="B3" s="8"/>
      <c r="C3" s="8"/>
      <c r="D3" s="8"/>
      <c r="E3" s="8"/>
      <c r="F3" s="8"/>
      <c r="G3" s="8"/>
      <c r="H3" s="8"/>
      <c r="I3" s="8"/>
    </row>
    <row r="4" spans="1:13" ht="27.75" customHeight="1" x14ac:dyDescent="0.25">
      <c r="A4" s="20" t="s">
        <v>132</v>
      </c>
      <c r="B4" s="20" t="s">
        <v>133</v>
      </c>
      <c r="C4" s="20" t="s">
        <v>134</v>
      </c>
      <c r="D4" s="20" t="s">
        <v>135</v>
      </c>
      <c r="E4" s="20" t="s">
        <v>136</v>
      </c>
      <c r="F4" s="20" t="s">
        <v>137</v>
      </c>
      <c r="G4" s="20" t="s">
        <v>138</v>
      </c>
      <c r="H4" s="20" t="s">
        <v>139</v>
      </c>
      <c r="I4" s="20" t="s">
        <v>140</v>
      </c>
      <c r="K4" s="6" t="s">
        <v>141</v>
      </c>
      <c r="L4" s="6"/>
      <c r="M4" s="6"/>
    </row>
    <row r="5" spans="1:13" ht="19.5" customHeight="1" x14ac:dyDescent="0.25">
      <c r="A5" s="5" t="s">
        <v>707</v>
      </c>
      <c r="B5" s="5"/>
      <c r="C5" s="5"/>
      <c r="D5" s="5"/>
      <c r="E5" s="5"/>
      <c r="F5" s="5"/>
      <c r="G5" s="5"/>
      <c r="H5" s="5"/>
      <c r="I5" s="5"/>
      <c r="K5" s="21" t="s">
        <v>143</v>
      </c>
      <c r="L5" s="21" t="s">
        <v>144</v>
      </c>
      <c r="M5" s="21" t="s">
        <v>145</v>
      </c>
    </row>
    <row r="6" spans="1:13" ht="42" customHeight="1" x14ac:dyDescent="0.25">
      <c r="A6" s="22" t="s">
        <v>708</v>
      </c>
      <c r="B6" s="16" t="s">
        <v>709</v>
      </c>
      <c r="C6" s="23" t="s">
        <v>710</v>
      </c>
      <c r="D6" s="24"/>
      <c r="E6" s="25" t="str">
        <f>IF($D6="","",VALUE(LEFT($D6,1)))</f>
        <v/>
      </c>
      <c r="F6" s="24"/>
      <c r="G6" s="25" t="str">
        <f>IF($F6="","",VALUE(LEFT($F6,1)))</f>
        <v/>
      </c>
      <c r="H6" s="25" t="str">
        <f>IF(OR($E6="",$G6=""),"",$G6-$E6)</f>
        <v/>
      </c>
      <c r="I6" s="16"/>
      <c r="K6" s="26" t="s">
        <v>707</v>
      </c>
      <c r="L6" s="27">
        <f>IFERROR(AVERAGE($E$6:$E$8)/5,0)</f>
        <v>0</v>
      </c>
      <c r="M6" s="27">
        <f>IFERROR(AVERAGE($G$6:$G$8)/5,0)</f>
        <v>0</v>
      </c>
    </row>
    <row r="7" spans="1:13" ht="42" customHeight="1" x14ac:dyDescent="0.25">
      <c r="A7" s="28" t="s">
        <v>711</v>
      </c>
      <c r="B7" s="17" t="s">
        <v>712</v>
      </c>
      <c r="C7" s="29" t="s">
        <v>713</v>
      </c>
      <c r="D7" s="30"/>
      <c r="E7" s="31" t="str">
        <f>IF($D7="","",VALUE(LEFT($D7,1)))</f>
        <v/>
      </c>
      <c r="F7" s="30"/>
      <c r="G7" s="31" t="str">
        <f>IF($F7="","",VALUE(LEFT($F7,1)))</f>
        <v/>
      </c>
      <c r="H7" s="31" t="str">
        <f>IF(OR($E7="",$G7=""),"",$G7-$E7)</f>
        <v/>
      </c>
      <c r="I7" s="17"/>
      <c r="K7" s="26" t="s">
        <v>714</v>
      </c>
      <c r="L7" s="27">
        <f>IFERROR(AVERAGE($E$10:$E$12)/5,0)</f>
        <v>0</v>
      </c>
      <c r="M7" s="27">
        <f>IFERROR(AVERAGE($G$10:$G$12)/5,0)</f>
        <v>0</v>
      </c>
    </row>
    <row r="8" spans="1:13" ht="42" customHeight="1" x14ac:dyDescent="0.25">
      <c r="A8" s="22" t="s">
        <v>715</v>
      </c>
      <c r="B8" s="16" t="s">
        <v>716</v>
      </c>
      <c r="C8" s="23" t="s">
        <v>717</v>
      </c>
      <c r="D8" s="24"/>
      <c r="E8" s="25" t="str">
        <f>IF($D8="","",VALUE(LEFT($D8,1)))</f>
        <v/>
      </c>
      <c r="F8" s="24"/>
      <c r="G8" s="25" t="str">
        <f>IF($F8="","",VALUE(LEFT($F8,1)))</f>
        <v/>
      </c>
      <c r="H8" s="25" t="str">
        <f>IF(OR($E8="",$G8=""),"",$G8-$E8)</f>
        <v/>
      </c>
      <c r="I8" s="16"/>
      <c r="K8" s="26" t="s">
        <v>718</v>
      </c>
      <c r="L8" s="27">
        <f>IFERROR(AVERAGE($E$14:$E$16)/5,0)</f>
        <v>0</v>
      </c>
      <c r="M8" s="27">
        <f>IFERROR(AVERAGE($G$14:$G$16)/5,0)</f>
        <v>0</v>
      </c>
    </row>
    <row r="9" spans="1:13" ht="19.5" customHeight="1" x14ac:dyDescent="0.25">
      <c r="A9" s="5" t="s">
        <v>714</v>
      </c>
      <c r="B9" s="5"/>
      <c r="C9" s="5"/>
      <c r="D9" s="5"/>
      <c r="E9" s="5"/>
      <c r="F9" s="5"/>
      <c r="G9" s="5"/>
      <c r="H9" s="5"/>
      <c r="I9" s="5"/>
    </row>
    <row r="10" spans="1:13" ht="42" customHeight="1" x14ac:dyDescent="0.25">
      <c r="A10" s="28" t="s">
        <v>719</v>
      </c>
      <c r="B10" s="17" t="s">
        <v>720</v>
      </c>
      <c r="C10" s="29" t="s">
        <v>721</v>
      </c>
      <c r="D10" s="30"/>
      <c r="E10" s="31" t="str">
        <f>IF($D10="","",VALUE(LEFT($D10,1)))</f>
        <v/>
      </c>
      <c r="F10" s="30"/>
      <c r="G10" s="31" t="str">
        <f>IF($F10="","",VALUE(LEFT($F10,1)))</f>
        <v/>
      </c>
      <c r="H10" s="31" t="str">
        <f>IF(OR($E10="",$G10=""),"",$G10-$E10)</f>
        <v/>
      </c>
      <c r="I10" s="17"/>
    </row>
    <row r="11" spans="1:13" ht="42" customHeight="1" x14ac:dyDescent="0.25">
      <c r="A11" s="22" t="s">
        <v>722</v>
      </c>
      <c r="B11" s="16" t="s">
        <v>723</v>
      </c>
      <c r="C11" s="23" t="s">
        <v>724</v>
      </c>
      <c r="D11" s="24"/>
      <c r="E11" s="25" t="str">
        <f>IF($D11="","",VALUE(LEFT($D11,1)))</f>
        <v/>
      </c>
      <c r="F11" s="24"/>
      <c r="G11" s="25" t="str">
        <f>IF($F11="","",VALUE(LEFT($F11,1)))</f>
        <v/>
      </c>
      <c r="H11" s="25" t="str">
        <f>IF(OR($E11="",$G11=""),"",$G11-$E11)</f>
        <v/>
      </c>
      <c r="I11" s="16"/>
    </row>
    <row r="12" spans="1:13" ht="42" customHeight="1" x14ac:dyDescent="0.25">
      <c r="A12" s="28" t="s">
        <v>725</v>
      </c>
      <c r="B12" s="17" t="s">
        <v>726</v>
      </c>
      <c r="C12" s="29" t="s">
        <v>727</v>
      </c>
      <c r="D12" s="30"/>
      <c r="E12" s="31" t="str">
        <f>IF($D12="","",VALUE(LEFT($D12,1)))</f>
        <v/>
      </c>
      <c r="F12" s="30"/>
      <c r="G12" s="31" t="str">
        <f>IF($F12="","",VALUE(LEFT($F12,1)))</f>
        <v/>
      </c>
      <c r="H12" s="31" t="str">
        <f>IF(OR($E12="",$G12=""),"",$G12-$E12)</f>
        <v/>
      </c>
      <c r="I12" s="17"/>
    </row>
    <row r="13" spans="1:13" ht="19.5" customHeight="1" x14ac:dyDescent="0.25">
      <c r="A13" s="5" t="s">
        <v>718</v>
      </c>
      <c r="B13" s="5"/>
      <c r="C13" s="5"/>
      <c r="D13" s="5"/>
      <c r="E13" s="5"/>
      <c r="F13" s="5"/>
      <c r="G13" s="5"/>
      <c r="H13" s="5"/>
      <c r="I13" s="5"/>
    </row>
    <row r="14" spans="1:13" ht="42" customHeight="1" x14ac:dyDescent="0.25">
      <c r="A14" s="22" t="s">
        <v>728</v>
      </c>
      <c r="B14" s="16" t="s">
        <v>729</v>
      </c>
      <c r="C14" s="23" t="s">
        <v>730</v>
      </c>
      <c r="D14" s="24"/>
      <c r="E14" s="25" t="str">
        <f>IF($D14="","",VALUE(LEFT($D14,1)))</f>
        <v/>
      </c>
      <c r="F14" s="24"/>
      <c r="G14" s="25" t="str">
        <f>IF($F14="","",VALUE(LEFT($F14,1)))</f>
        <v/>
      </c>
      <c r="H14" s="25" t="str">
        <f>IF(OR($E14="",$G14=""),"",$G14-$E14)</f>
        <v/>
      </c>
      <c r="I14" s="16"/>
    </row>
    <row r="15" spans="1:13" ht="42" customHeight="1" x14ac:dyDescent="0.25">
      <c r="A15" s="28" t="s">
        <v>731</v>
      </c>
      <c r="B15" s="17" t="s">
        <v>732</v>
      </c>
      <c r="C15" s="29" t="s">
        <v>733</v>
      </c>
      <c r="D15" s="30"/>
      <c r="E15" s="31" t="str">
        <f>IF($D15="","",VALUE(LEFT($D15,1)))</f>
        <v/>
      </c>
      <c r="F15" s="30"/>
      <c r="G15" s="31" t="str">
        <f>IF($F15="","",VALUE(LEFT($F15,1)))</f>
        <v/>
      </c>
      <c r="H15" s="31" t="str">
        <f>IF(OR($E15="",$G15=""),"",$G15-$E15)</f>
        <v/>
      </c>
      <c r="I15" s="17"/>
    </row>
    <row r="16" spans="1:13" ht="42" customHeight="1" x14ac:dyDescent="0.25">
      <c r="A16" s="22" t="s">
        <v>734</v>
      </c>
      <c r="B16" s="16" t="s">
        <v>735</v>
      </c>
      <c r="C16" s="23" t="s">
        <v>736</v>
      </c>
      <c r="D16" s="24"/>
      <c r="E16" s="25" t="str">
        <f>IF($D16="","",VALUE(LEFT($D16,1)))</f>
        <v/>
      </c>
      <c r="F16" s="24"/>
      <c r="G16" s="25" t="str">
        <f>IF($F16="","",VALUE(LEFT($F16,1)))</f>
        <v/>
      </c>
      <c r="H16" s="25" t="str">
        <f>IF(OR($E16="",$G16=""),"",$G16-$E16)</f>
        <v/>
      </c>
      <c r="I16" s="16"/>
    </row>
  </sheetData>
  <mergeCells count="7">
    <mergeCell ref="A9:I9"/>
    <mergeCell ref="A13:I13"/>
    <mergeCell ref="A1:I1"/>
    <mergeCell ref="A2:I2"/>
    <mergeCell ref="A3:I3"/>
    <mergeCell ref="K4:M4"/>
    <mergeCell ref="A5:I5"/>
  </mergeCells>
  <conditionalFormatting sqref="E5:E16">
    <cfRule type="colorScale" priority="2">
      <colorScale>
        <cfvo type="num" val="0"/>
        <cfvo type="num" val="2.5"/>
        <cfvo type="num" val="5"/>
        <color rgb="FFF1948A"/>
        <color rgb="FFF7DC6F"/>
        <color rgb="FF7DCEA0"/>
      </colorScale>
    </cfRule>
  </conditionalFormatting>
  <conditionalFormatting sqref="H5:H16">
    <cfRule type="expression" dxfId="1" priority="3">
      <formula>AND(ISNUMBER($H5),$H5&gt;0)</formula>
    </cfRule>
    <cfRule type="expression" dxfId="0" priority="4">
      <formula>AND(ISNUMBER($H5),$H5&lt;=0)</formula>
    </cfRule>
  </conditionalFormatting>
  <dataValidations count="1">
    <dataValidation type="list" allowBlank="1" showErrorMessage="1" errorTitle="Valor inválido" error="Selecione um valor da lista de níveis." sqref="D6:D8 F6:F8 D10:D12 F10:F12 D14:D16 F14:F16" xr:uid="{00000000-0002-0000-0900-000000000000}">
      <formula1>"0 - Inexistente,1 - Inicial (ad hoc),2 - Repetível,3 - Definido,4 - Gerenciado e medido,5 - Otimizado"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7A1F"/>
  </sheetPr>
  <dimension ref="A1:H84"/>
  <sheetViews>
    <sheetView showGridLines="0" topLeftCell="A2" zoomScaleNormal="100" workbookViewId="0">
      <selection activeCell="A67" sqref="A67"/>
    </sheetView>
  </sheetViews>
  <sheetFormatPr defaultColWidth="8.7109375" defaultRowHeight="15" x14ac:dyDescent="0.25"/>
  <cols>
    <col min="1" max="1" width="34" customWidth="1"/>
    <col min="2" max="3" width="11" customWidth="1"/>
    <col min="4" max="4" width="8" customWidth="1"/>
    <col min="5" max="6" width="14" customWidth="1"/>
    <col min="7" max="7" width="10" customWidth="1"/>
    <col min="8" max="8" width="3" customWidth="1"/>
  </cols>
  <sheetData>
    <row r="1" spans="1:8" ht="30" customHeight="1" x14ac:dyDescent="0.25">
      <c r="A1" s="14" t="s">
        <v>737</v>
      </c>
      <c r="B1" s="14"/>
      <c r="C1" s="14"/>
      <c r="D1" s="14"/>
      <c r="E1" s="14"/>
      <c r="F1" s="14"/>
      <c r="G1" s="14"/>
      <c r="H1" s="14"/>
    </row>
    <row r="2" spans="1:8" ht="18" customHeight="1" x14ac:dyDescent="0.25">
      <c r="A2" s="13" t="s">
        <v>738</v>
      </c>
      <c r="B2" s="13"/>
      <c r="C2" s="13"/>
      <c r="D2" s="13"/>
      <c r="E2" s="13"/>
      <c r="F2" s="13"/>
      <c r="G2" s="13"/>
      <c r="H2" s="13"/>
    </row>
    <row r="4" spans="1:8" ht="21.75" customHeight="1" x14ac:dyDescent="0.25">
      <c r="A4" s="4" t="s">
        <v>739</v>
      </c>
      <c r="B4" s="3">
        <f>$E$63</f>
        <v>0</v>
      </c>
      <c r="C4" s="3"/>
      <c r="D4" s="2" t="str">
        <f>IF($B$4&lt;0.1,"Inexistente — capacidade ausente",IF($B$4&lt;0.3,"Inicial — práticas ad hoc",IF($B$4&lt;0.5,"Em desenvolvimento — repetível",IF($B$4&lt;0.7,"Definido — padronizado",IF($B$4&lt;0.9,"Gerenciado — medido","Otimizado — melhoria contínua")))))</f>
        <v>Inexistente — capacidade ausente</v>
      </c>
      <c r="E4" s="2"/>
      <c r="F4" s="2"/>
      <c r="G4" s="2"/>
    </row>
    <row r="5" spans="1:8" ht="21.75" customHeight="1" x14ac:dyDescent="0.25">
      <c r="A5" s="4"/>
      <c r="B5" s="4"/>
      <c r="C5" s="3"/>
      <c r="D5" s="2"/>
      <c r="E5" s="2"/>
      <c r="F5" s="2"/>
      <c r="G5" s="2"/>
    </row>
    <row r="7" spans="1:8" x14ac:dyDescent="0.25">
      <c r="A7" s="12" t="s">
        <v>740</v>
      </c>
      <c r="B7" s="12"/>
      <c r="C7" s="12"/>
      <c r="D7" s="12"/>
      <c r="E7" s="12"/>
      <c r="F7" s="12"/>
      <c r="G7" s="12"/>
    </row>
    <row r="8" spans="1:8" ht="24" x14ac:dyDescent="0.25">
      <c r="A8" s="20" t="s">
        <v>741</v>
      </c>
      <c r="B8" s="20" t="s">
        <v>742</v>
      </c>
      <c r="C8" s="20" t="s">
        <v>138</v>
      </c>
      <c r="D8" s="20" t="s">
        <v>139</v>
      </c>
      <c r="E8" s="20" t="s">
        <v>743</v>
      </c>
      <c r="F8" s="20" t="s">
        <v>744</v>
      </c>
      <c r="G8" s="20" t="s">
        <v>9</v>
      </c>
    </row>
    <row r="9" spans="1:8" ht="19.5" customHeight="1" x14ac:dyDescent="0.25">
      <c r="A9" s="1" t="s">
        <v>745</v>
      </c>
      <c r="B9" s="1"/>
      <c r="C9" s="1"/>
      <c r="D9" s="1"/>
      <c r="E9" s="1"/>
      <c r="F9" s="1"/>
      <c r="G9" s="1"/>
    </row>
    <row r="10" spans="1:8" ht="15.75" customHeight="1" x14ac:dyDescent="0.25">
      <c r="A10" s="16" t="s">
        <v>746</v>
      </c>
      <c r="B10" s="32">
        <f>IFERROR(AVERAGE(CTI!$E$6:$E$8),0)</f>
        <v>0</v>
      </c>
      <c r="C10" s="32">
        <f>IFERROR(AVERAGE(CTI!$G$6:$G$8),0)</f>
        <v>0</v>
      </c>
      <c r="D10" s="32">
        <f t="shared" ref="D10:D20" si="0">$C10-$B10</f>
        <v>0</v>
      </c>
      <c r="E10" s="33">
        <f t="shared" ref="E10:E20" si="1">$B10/3</f>
        <v>0</v>
      </c>
      <c r="F10" s="33">
        <f t="shared" ref="F10:F20" si="2">$C10/3</f>
        <v>0</v>
      </c>
      <c r="G10" s="24" t="s">
        <v>38</v>
      </c>
    </row>
    <row r="11" spans="1:8" ht="15.75" customHeight="1" x14ac:dyDescent="0.25">
      <c r="A11" s="17" t="s">
        <v>747</v>
      </c>
      <c r="B11" s="34">
        <f>IFERROR(AVERAGE(CTI!$E$10:$E$11),0)</f>
        <v>0</v>
      </c>
      <c r="C11" s="34">
        <f>IFERROR(AVERAGE(CTI!$G$10:$G$11),0)</f>
        <v>0</v>
      </c>
      <c r="D11" s="34">
        <f t="shared" si="0"/>
        <v>0</v>
      </c>
      <c r="E11" s="35">
        <f t="shared" si="1"/>
        <v>0</v>
      </c>
      <c r="F11" s="35">
        <f t="shared" si="2"/>
        <v>0</v>
      </c>
      <c r="G11" s="30" t="s">
        <v>38</v>
      </c>
    </row>
    <row r="12" spans="1:8" ht="15.75" customHeight="1" x14ac:dyDescent="0.25">
      <c r="A12" s="16" t="s">
        <v>748</v>
      </c>
      <c r="B12" s="32">
        <f>IFERROR(AVERAGE(CTI!$E$13:$E$15),0)</f>
        <v>0</v>
      </c>
      <c r="C12" s="32">
        <f>IFERROR(AVERAGE(CTI!$G$13:$G$15),0)</f>
        <v>0</v>
      </c>
      <c r="D12" s="32">
        <f t="shared" si="0"/>
        <v>0</v>
      </c>
      <c r="E12" s="33">
        <f t="shared" si="1"/>
        <v>0</v>
      </c>
      <c r="F12" s="33">
        <f t="shared" si="2"/>
        <v>0</v>
      </c>
      <c r="G12" s="24" t="s">
        <v>38</v>
      </c>
    </row>
    <row r="13" spans="1:8" ht="15.75" customHeight="1" x14ac:dyDescent="0.25">
      <c r="A13" s="17" t="s">
        <v>749</v>
      </c>
      <c r="B13" s="34">
        <f>IFERROR(AVERAGE(CTI!$E$17:$E$18),0)</f>
        <v>0</v>
      </c>
      <c r="C13" s="34">
        <f>IFERROR(AVERAGE(CTI!$G$17:$G$18),0)</f>
        <v>0</v>
      </c>
      <c r="D13" s="34">
        <f t="shared" si="0"/>
        <v>0</v>
      </c>
      <c r="E13" s="35">
        <f t="shared" si="1"/>
        <v>0</v>
      </c>
      <c r="F13" s="35">
        <f t="shared" si="2"/>
        <v>0</v>
      </c>
      <c r="G13" s="30" t="s">
        <v>38</v>
      </c>
    </row>
    <row r="14" spans="1:8" ht="15.75" customHeight="1" x14ac:dyDescent="0.25">
      <c r="A14" s="16" t="s">
        <v>750</v>
      </c>
      <c r="B14" s="32">
        <f>IFERROR(AVERAGE(CTI!$E$20:$E$21),0)</f>
        <v>0</v>
      </c>
      <c r="C14" s="32">
        <f>IFERROR(AVERAGE(CTI!$G$20:$G$21),0)</f>
        <v>0</v>
      </c>
      <c r="D14" s="32">
        <f t="shared" si="0"/>
        <v>0</v>
      </c>
      <c r="E14" s="33">
        <f t="shared" si="1"/>
        <v>0</v>
      </c>
      <c r="F14" s="33">
        <f t="shared" si="2"/>
        <v>0</v>
      </c>
      <c r="G14" s="24" t="s">
        <v>38</v>
      </c>
    </row>
    <row r="15" spans="1:8" ht="15.75" customHeight="1" x14ac:dyDescent="0.25">
      <c r="A15" s="17" t="s">
        <v>751</v>
      </c>
      <c r="B15" s="34">
        <f>IFERROR(AVERAGE(CTI!$E$23:$E$24),0)</f>
        <v>0</v>
      </c>
      <c r="C15" s="34">
        <f>IFERROR(AVERAGE(CTI!$G$23:$G$24),0)</f>
        <v>0</v>
      </c>
      <c r="D15" s="34">
        <f t="shared" si="0"/>
        <v>0</v>
      </c>
      <c r="E15" s="35">
        <f t="shared" si="1"/>
        <v>0</v>
      </c>
      <c r="F15" s="35">
        <f t="shared" si="2"/>
        <v>0</v>
      </c>
      <c r="G15" s="30" t="s">
        <v>38</v>
      </c>
    </row>
    <row r="16" spans="1:8" ht="15.75" customHeight="1" x14ac:dyDescent="0.25">
      <c r="A16" s="16" t="s">
        <v>752</v>
      </c>
      <c r="B16" s="32">
        <f>IFERROR(AVERAGE(CTI!$E$26:$E$27),0)</f>
        <v>0</v>
      </c>
      <c r="C16" s="32">
        <f>IFERROR(AVERAGE(CTI!$G$26:$G$27),0)</f>
        <v>0</v>
      </c>
      <c r="D16" s="32">
        <f t="shared" si="0"/>
        <v>0</v>
      </c>
      <c r="E16" s="33">
        <f t="shared" si="1"/>
        <v>0</v>
      </c>
      <c r="F16" s="33">
        <f t="shared" si="2"/>
        <v>0</v>
      </c>
      <c r="G16" s="24" t="s">
        <v>38</v>
      </c>
    </row>
    <row r="17" spans="1:7" ht="15.75" customHeight="1" x14ac:dyDescent="0.25">
      <c r="A17" s="17" t="s">
        <v>753</v>
      </c>
      <c r="B17" s="34">
        <f>IFERROR(AVERAGE(CTI!$E$29:$E$30),0)</f>
        <v>0</v>
      </c>
      <c r="C17" s="34">
        <f>IFERROR(AVERAGE(CTI!$G$29:$G$30),0)</f>
        <v>0</v>
      </c>
      <c r="D17" s="34">
        <f t="shared" si="0"/>
        <v>0</v>
      </c>
      <c r="E17" s="35">
        <f t="shared" si="1"/>
        <v>0</v>
      </c>
      <c r="F17" s="35">
        <f t="shared" si="2"/>
        <v>0</v>
      </c>
      <c r="G17" s="30" t="s">
        <v>38</v>
      </c>
    </row>
    <row r="18" spans="1:7" ht="15.75" customHeight="1" x14ac:dyDescent="0.25">
      <c r="A18" s="16" t="s">
        <v>754</v>
      </c>
      <c r="B18" s="32">
        <f>IFERROR(AVERAGE(CTI!$E$32:$E$33),0)</f>
        <v>0</v>
      </c>
      <c r="C18" s="32">
        <f>IFERROR(AVERAGE(CTI!$G$32:$G$33),0)</f>
        <v>0</v>
      </c>
      <c r="D18" s="32">
        <f t="shared" si="0"/>
        <v>0</v>
      </c>
      <c r="E18" s="33">
        <f t="shared" si="1"/>
        <v>0</v>
      </c>
      <c r="F18" s="33">
        <f t="shared" si="2"/>
        <v>0</v>
      </c>
      <c r="G18" s="24" t="s">
        <v>38</v>
      </c>
    </row>
    <row r="19" spans="1:7" ht="15.75" customHeight="1" x14ac:dyDescent="0.25">
      <c r="A19" s="17" t="s">
        <v>755</v>
      </c>
      <c r="B19" s="34">
        <f>IFERROR(AVERAGE(CTI!$E$35:$E$36),0)</f>
        <v>0</v>
      </c>
      <c r="C19" s="34">
        <f>IFERROR(AVERAGE(CTI!$G$35:$G$36),0)</f>
        <v>0</v>
      </c>
      <c r="D19" s="34">
        <f t="shared" si="0"/>
        <v>0</v>
      </c>
      <c r="E19" s="35">
        <f t="shared" si="1"/>
        <v>0</v>
      </c>
      <c r="F19" s="35">
        <f t="shared" si="2"/>
        <v>0</v>
      </c>
      <c r="G19" s="30" t="s">
        <v>38</v>
      </c>
    </row>
    <row r="20" spans="1:7" ht="15.75" customHeight="1" x14ac:dyDescent="0.25">
      <c r="A20" s="16" t="s">
        <v>756</v>
      </c>
      <c r="B20" s="32">
        <f>IFERROR(AVERAGE(CTI!$E$38:$E$39),0)</f>
        <v>0</v>
      </c>
      <c r="C20" s="32">
        <f>IFERROR(AVERAGE(CTI!$G$38:$G$39),0)</f>
        <v>0</v>
      </c>
      <c r="D20" s="32">
        <f t="shared" si="0"/>
        <v>0</v>
      </c>
      <c r="E20" s="33">
        <f t="shared" si="1"/>
        <v>0</v>
      </c>
      <c r="F20" s="33">
        <f t="shared" si="2"/>
        <v>0</v>
      </c>
      <c r="G20" s="24" t="s">
        <v>38</v>
      </c>
    </row>
    <row r="21" spans="1:7" ht="19.5" customHeight="1" x14ac:dyDescent="0.25">
      <c r="A21" s="1" t="s">
        <v>757</v>
      </c>
      <c r="B21" s="1"/>
      <c r="C21" s="1"/>
      <c r="D21" s="1"/>
      <c r="E21" s="1"/>
      <c r="F21" s="1"/>
      <c r="G21" s="1"/>
    </row>
    <row r="22" spans="1:7" ht="15.75" customHeight="1" x14ac:dyDescent="0.25">
      <c r="A22" s="17" t="s">
        <v>758</v>
      </c>
      <c r="B22" s="34">
        <f>IFERROR(AVERAGE('Threat Hunting'!$E$6:$E$9),0)</f>
        <v>0</v>
      </c>
      <c r="C22" s="34">
        <f>IFERROR(AVERAGE('Threat Hunting'!$G$6:$G$9),0)</f>
        <v>0</v>
      </c>
      <c r="D22" s="34">
        <f>$C22-$B22</f>
        <v>0</v>
      </c>
      <c r="E22" s="35">
        <f>$B22/4</f>
        <v>0</v>
      </c>
      <c r="F22" s="35">
        <f>$C22/4</f>
        <v>0</v>
      </c>
      <c r="G22" s="30" t="s">
        <v>33</v>
      </c>
    </row>
    <row r="23" spans="1:7" ht="15.75" customHeight="1" x14ac:dyDescent="0.25">
      <c r="A23" s="16" t="s">
        <v>759</v>
      </c>
      <c r="B23" s="32">
        <f>IFERROR(AVERAGE('Threat Hunting'!$E$11:$E$14),0)</f>
        <v>0</v>
      </c>
      <c r="C23" s="32">
        <f>IFERROR(AVERAGE('Threat Hunting'!$G$11:$G$14),0)</f>
        <v>0</v>
      </c>
      <c r="D23" s="32">
        <f>$C23-$B23</f>
        <v>0</v>
      </c>
      <c r="E23" s="33">
        <f>$B23/4</f>
        <v>0</v>
      </c>
      <c r="F23" s="33">
        <f>$C23/4</f>
        <v>0</v>
      </c>
      <c r="G23" s="24" t="s">
        <v>33</v>
      </c>
    </row>
    <row r="24" spans="1:7" ht="15.75" customHeight="1" x14ac:dyDescent="0.25">
      <c r="A24" s="17" t="s">
        <v>760</v>
      </c>
      <c r="B24" s="34">
        <f>IFERROR(AVERAGE('Threat Hunting'!$E$16:$E$19),0)</f>
        <v>0</v>
      </c>
      <c r="C24" s="34">
        <f>IFERROR(AVERAGE('Threat Hunting'!$G$16:$G$19),0)</f>
        <v>0</v>
      </c>
      <c r="D24" s="34">
        <f>$C24-$B24</f>
        <v>0</v>
      </c>
      <c r="E24" s="35">
        <f>$B24/4</f>
        <v>0</v>
      </c>
      <c r="F24" s="35">
        <f>$C24/4</f>
        <v>0</v>
      </c>
      <c r="G24" s="30" t="s">
        <v>33</v>
      </c>
    </row>
    <row r="25" spans="1:7" ht="15.75" customHeight="1" x14ac:dyDescent="0.25">
      <c r="A25" s="16" t="s">
        <v>761</v>
      </c>
      <c r="B25" s="32">
        <f>IFERROR(AVERAGE('Threat Hunting'!$E$21:$E$22),0)</f>
        <v>0</v>
      </c>
      <c r="C25" s="32">
        <f>IFERROR(AVERAGE('Threat Hunting'!$G$21:$G$22),0)</f>
        <v>0</v>
      </c>
      <c r="D25" s="32">
        <f>$C25-$B25</f>
        <v>0</v>
      </c>
      <c r="E25" s="33">
        <f>$B25/4</f>
        <v>0</v>
      </c>
      <c r="F25" s="33">
        <f>$C25/4</f>
        <v>0</v>
      </c>
      <c r="G25" s="24" t="s">
        <v>33</v>
      </c>
    </row>
    <row r="26" spans="1:7" ht="19.5" customHeight="1" x14ac:dyDescent="0.25">
      <c r="A26" s="1" t="s">
        <v>762</v>
      </c>
      <c r="B26" s="1"/>
      <c r="C26" s="1"/>
      <c r="D26" s="1"/>
      <c r="E26" s="1"/>
      <c r="F26" s="1"/>
      <c r="G26" s="1"/>
    </row>
    <row r="27" spans="1:7" ht="15.75" customHeight="1" x14ac:dyDescent="0.25">
      <c r="A27" s="17" t="s">
        <v>763</v>
      </c>
      <c r="B27" s="34">
        <f>IFERROR(AVERAGE('Detection Eng'!$E$6:$E$9),0)</f>
        <v>0</v>
      </c>
      <c r="C27" s="34">
        <f>IFERROR(AVERAGE('Detection Eng'!$G$6:$G$9),0)</f>
        <v>0</v>
      </c>
      <c r="D27" s="34">
        <f>$C27-$B27</f>
        <v>0</v>
      </c>
      <c r="E27" s="35">
        <f>$B27/5</f>
        <v>0</v>
      </c>
      <c r="F27" s="35">
        <f>$C27/5</f>
        <v>0</v>
      </c>
      <c r="G27" s="30" t="s">
        <v>24</v>
      </c>
    </row>
    <row r="28" spans="1:7" ht="15.75" customHeight="1" x14ac:dyDescent="0.25">
      <c r="A28" s="16" t="s">
        <v>764</v>
      </c>
      <c r="B28" s="32">
        <f>IFERROR(AVERAGE('Detection Eng'!$E$11:$E$13),0)</f>
        <v>0</v>
      </c>
      <c r="C28" s="32">
        <f>IFERROR(AVERAGE('Detection Eng'!$G$11:$G$13),0)</f>
        <v>0</v>
      </c>
      <c r="D28" s="32">
        <f>$C28-$B28</f>
        <v>0</v>
      </c>
      <c r="E28" s="33">
        <f>$B28/5</f>
        <v>0</v>
      </c>
      <c r="F28" s="33">
        <f>$C28/5</f>
        <v>0</v>
      </c>
      <c r="G28" s="24" t="s">
        <v>24</v>
      </c>
    </row>
    <row r="29" spans="1:7" ht="15.75" customHeight="1" x14ac:dyDescent="0.25">
      <c r="A29" s="17" t="s">
        <v>765</v>
      </c>
      <c r="B29" s="34">
        <f>IFERROR(AVERAGE('Detection Eng'!$E$15:$E$19),0)</f>
        <v>0</v>
      </c>
      <c r="C29" s="34">
        <f>IFERROR(AVERAGE('Detection Eng'!$G$15:$G$19),0)</f>
        <v>0</v>
      </c>
      <c r="D29" s="34">
        <f>$C29-$B29</f>
        <v>0</v>
      </c>
      <c r="E29" s="35">
        <f>$B29/5</f>
        <v>0</v>
      </c>
      <c r="F29" s="35">
        <f>$C29/5</f>
        <v>0</v>
      </c>
      <c r="G29" s="30" t="s">
        <v>24</v>
      </c>
    </row>
    <row r="30" spans="1:7" ht="15.75" customHeight="1" x14ac:dyDescent="0.25">
      <c r="A30" s="16" t="s">
        <v>766</v>
      </c>
      <c r="B30" s="32">
        <f>IFERROR(AVERAGE('Detection Eng'!$E$21:$E$22),0)</f>
        <v>0</v>
      </c>
      <c r="C30" s="32">
        <f>IFERROR(AVERAGE('Detection Eng'!$G$21:$G$22),0)</f>
        <v>0</v>
      </c>
      <c r="D30" s="32">
        <f>$C30-$B30</f>
        <v>0</v>
      </c>
      <c r="E30" s="33">
        <f>$B30/5</f>
        <v>0</v>
      </c>
      <c r="F30" s="33">
        <f>$C30/5</f>
        <v>0</v>
      </c>
      <c r="G30" s="24" t="s">
        <v>24</v>
      </c>
    </row>
    <row r="31" spans="1:7" ht="19.5" customHeight="1" x14ac:dyDescent="0.25">
      <c r="A31" s="1" t="s">
        <v>767</v>
      </c>
      <c r="B31" s="1"/>
      <c r="C31" s="1"/>
      <c r="D31" s="1"/>
      <c r="E31" s="1"/>
      <c r="F31" s="1"/>
      <c r="G31" s="1"/>
    </row>
    <row r="32" spans="1:7" ht="15.75" customHeight="1" x14ac:dyDescent="0.25">
      <c r="A32" s="17" t="s">
        <v>758</v>
      </c>
      <c r="B32" s="34">
        <f>IFERROR(AVERAGE(DFIR!$E$6:$E$10),0)</f>
        <v>0</v>
      </c>
      <c r="C32" s="34">
        <f>IFERROR(AVERAGE(DFIR!$G$6:$G$10),0)</f>
        <v>0</v>
      </c>
      <c r="D32" s="34">
        <f>$C32-$B32</f>
        <v>0</v>
      </c>
      <c r="E32" s="35">
        <f>$B32/5</f>
        <v>0</v>
      </c>
      <c r="F32" s="35">
        <f>$C32/5</f>
        <v>0</v>
      </c>
      <c r="G32" s="30" t="s">
        <v>24</v>
      </c>
    </row>
    <row r="33" spans="1:7" ht="15.75" customHeight="1" x14ac:dyDescent="0.25">
      <c r="A33" s="16" t="s">
        <v>768</v>
      </c>
      <c r="B33" s="32">
        <f>IFERROR(AVERAGE(DFIR!$E$12:$E$15),0)</f>
        <v>0</v>
      </c>
      <c r="C33" s="32">
        <f>IFERROR(AVERAGE(DFIR!$G$12:$G$15),0)</f>
        <v>0</v>
      </c>
      <c r="D33" s="32">
        <f>$C33-$B33</f>
        <v>0</v>
      </c>
      <c r="E33" s="33">
        <f>$B33/5</f>
        <v>0</v>
      </c>
      <c r="F33" s="33">
        <f>$C33/5</f>
        <v>0</v>
      </c>
      <c r="G33" s="24" t="s">
        <v>24</v>
      </c>
    </row>
    <row r="34" spans="1:7" ht="15.75" customHeight="1" x14ac:dyDescent="0.25">
      <c r="A34" s="17" t="s">
        <v>769</v>
      </c>
      <c r="B34" s="34">
        <f>IFERROR(AVERAGE(DFIR!$E$17:$E$22),0)</f>
        <v>0</v>
      </c>
      <c r="C34" s="34">
        <f>IFERROR(AVERAGE(DFIR!$G$17:$G$22),0)</f>
        <v>0</v>
      </c>
      <c r="D34" s="34">
        <f>$C34-$B34</f>
        <v>0</v>
      </c>
      <c r="E34" s="35">
        <f>$B34/5</f>
        <v>0</v>
      </c>
      <c r="F34" s="35">
        <f>$C34/5</f>
        <v>0</v>
      </c>
      <c r="G34" s="30" t="s">
        <v>24</v>
      </c>
    </row>
    <row r="35" spans="1:7" ht="19.5" customHeight="1" x14ac:dyDescent="0.25">
      <c r="A35" s="1" t="s">
        <v>770</v>
      </c>
      <c r="B35" s="1"/>
      <c r="C35" s="1"/>
      <c r="D35" s="1"/>
      <c r="E35" s="1"/>
      <c r="F35" s="1"/>
      <c r="G35" s="1"/>
    </row>
    <row r="36" spans="1:7" ht="15.75" customHeight="1" x14ac:dyDescent="0.25">
      <c r="A36" s="16" t="s">
        <v>771</v>
      </c>
      <c r="B36" s="32">
        <f>IFERROR(AVERAGE(CSIRT!$E$6:$E$16),0)</f>
        <v>0</v>
      </c>
      <c r="C36" s="32">
        <f>IFERROR(AVERAGE(CSIRT!$G$6:$G$16),0)</f>
        <v>0</v>
      </c>
      <c r="D36" s="32">
        <f>$C36-$B36</f>
        <v>0</v>
      </c>
      <c r="E36" s="33">
        <f>$B36/4</f>
        <v>0</v>
      </c>
      <c r="F36" s="33">
        <f>$C36/4</f>
        <v>0</v>
      </c>
      <c r="G36" s="24" t="s">
        <v>33</v>
      </c>
    </row>
    <row r="37" spans="1:7" ht="15.75" customHeight="1" x14ac:dyDescent="0.25">
      <c r="A37" s="17" t="s">
        <v>772</v>
      </c>
      <c r="B37" s="34">
        <f>IFERROR(AVERAGE(CSIRT!$E$18:$E$24),0)</f>
        <v>0</v>
      </c>
      <c r="C37" s="34">
        <f>IFERROR(AVERAGE(CSIRT!$G$18:$G$24),0)</f>
        <v>0</v>
      </c>
      <c r="D37" s="34">
        <f>$C37-$B37</f>
        <v>0</v>
      </c>
      <c r="E37" s="35">
        <f>$B37/4</f>
        <v>0</v>
      </c>
      <c r="F37" s="35">
        <f>$C37/4</f>
        <v>0</v>
      </c>
      <c r="G37" s="30" t="s">
        <v>33</v>
      </c>
    </row>
    <row r="38" spans="1:7" ht="15.75" customHeight="1" x14ac:dyDescent="0.25">
      <c r="A38" s="16" t="s">
        <v>773</v>
      </c>
      <c r="B38" s="32">
        <f>IFERROR(AVERAGE(CSIRT!$E$26:$E$35),0)</f>
        <v>0</v>
      </c>
      <c r="C38" s="32">
        <f>IFERROR(AVERAGE(CSIRT!$G$26:$G$35),0)</f>
        <v>0</v>
      </c>
      <c r="D38" s="32">
        <f>$C38-$B38</f>
        <v>0</v>
      </c>
      <c r="E38" s="33">
        <f>$B38/4</f>
        <v>0</v>
      </c>
      <c r="F38" s="33">
        <f>$C38/4</f>
        <v>0</v>
      </c>
      <c r="G38" s="24" t="s">
        <v>33</v>
      </c>
    </row>
    <row r="39" spans="1:7" ht="15.75" customHeight="1" x14ac:dyDescent="0.25">
      <c r="A39" s="17" t="s">
        <v>774</v>
      </c>
      <c r="B39" s="34">
        <f>IFERROR(AVERAGE(CSIRT!$E$37:$E$53),0)</f>
        <v>0</v>
      </c>
      <c r="C39" s="34">
        <f>IFERROR(AVERAGE(CSIRT!$G$37:$G$53),0)</f>
        <v>0</v>
      </c>
      <c r="D39" s="34">
        <f>$C39-$B39</f>
        <v>0</v>
      </c>
      <c r="E39" s="35">
        <f>$B39/4</f>
        <v>0</v>
      </c>
      <c r="F39" s="35">
        <f>$C39/4</f>
        <v>0</v>
      </c>
      <c r="G39" s="30" t="s">
        <v>33</v>
      </c>
    </row>
    <row r="40" spans="1:7" ht="19.5" customHeight="1" x14ac:dyDescent="0.25">
      <c r="A40" s="1" t="s">
        <v>775</v>
      </c>
      <c r="B40" s="1"/>
      <c r="C40" s="1"/>
      <c r="D40" s="1"/>
      <c r="E40" s="1"/>
      <c r="F40" s="1"/>
      <c r="G40" s="1"/>
    </row>
    <row r="41" spans="1:7" ht="15.75" customHeight="1" x14ac:dyDescent="0.25">
      <c r="A41" s="16" t="s">
        <v>776</v>
      </c>
      <c r="B41" s="32">
        <f>IFERROR(AVERAGE(PSIRT!$E$6:$E$9),0)</f>
        <v>0</v>
      </c>
      <c r="C41" s="32">
        <f>IFERROR(AVERAGE(PSIRT!$G$6:$G$9),0)</f>
        <v>0</v>
      </c>
      <c r="D41" s="32">
        <f t="shared" ref="D41:D46" si="3">$C41-$B41</f>
        <v>0</v>
      </c>
      <c r="E41" s="33">
        <f t="shared" ref="E41:E46" si="4">$B41/3</f>
        <v>0</v>
      </c>
      <c r="F41" s="33">
        <f t="shared" ref="F41:F46" si="5">$C41/3</f>
        <v>0</v>
      </c>
      <c r="G41" s="24" t="s">
        <v>38</v>
      </c>
    </row>
    <row r="42" spans="1:7" ht="15.75" customHeight="1" x14ac:dyDescent="0.25">
      <c r="A42" s="17" t="s">
        <v>777</v>
      </c>
      <c r="B42" s="34">
        <f>IFERROR(AVERAGE(PSIRT!$E$11:$E$13),0)</f>
        <v>0</v>
      </c>
      <c r="C42" s="34">
        <f>IFERROR(AVERAGE(PSIRT!$G$11:$G$13),0)</f>
        <v>0</v>
      </c>
      <c r="D42" s="34">
        <f t="shared" si="3"/>
        <v>0</v>
      </c>
      <c r="E42" s="35">
        <f t="shared" si="4"/>
        <v>0</v>
      </c>
      <c r="F42" s="35">
        <f t="shared" si="5"/>
        <v>0</v>
      </c>
      <c r="G42" s="30" t="s">
        <v>38</v>
      </c>
    </row>
    <row r="43" spans="1:7" ht="15.75" customHeight="1" x14ac:dyDescent="0.25">
      <c r="A43" s="16" t="s">
        <v>778</v>
      </c>
      <c r="B43" s="32">
        <f>IFERROR(AVERAGE(PSIRT!$E$15:$E$17),0)</f>
        <v>0</v>
      </c>
      <c r="C43" s="32">
        <f>IFERROR(AVERAGE(PSIRT!$G$15:$G$17),0)</f>
        <v>0</v>
      </c>
      <c r="D43" s="32">
        <f t="shared" si="3"/>
        <v>0</v>
      </c>
      <c r="E43" s="33">
        <f t="shared" si="4"/>
        <v>0</v>
      </c>
      <c r="F43" s="33">
        <f t="shared" si="5"/>
        <v>0</v>
      </c>
      <c r="G43" s="24" t="s">
        <v>38</v>
      </c>
    </row>
    <row r="44" spans="1:7" ht="15.75" customHeight="1" x14ac:dyDescent="0.25">
      <c r="A44" s="17" t="s">
        <v>779</v>
      </c>
      <c r="B44" s="34">
        <f>IFERROR(AVERAGE(PSIRT!$E$19:$E$20),0)</f>
        <v>0</v>
      </c>
      <c r="C44" s="34">
        <f>IFERROR(AVERAGE(PSIRT!$G$19:$G$20),0)</f>
        <v>0</v>
      </c>
      <c r="D44" s="34">
        <f t="shared" si="3"/>
        <v>0</v>
      </c>
      <c r="E44" s="35">
        <f t="shared" si="4"/>
        <v>0</v>
      </c>
      <c r="F44" s="35">
        <f t="shared" si="5"/>
        <v>0</v>
      </c>
      <c r="G44" s="30" t="s">
        <v>38</v>
      </c>
    </row>
    <row r="45" spans="1:7" ht="15.75" customHeight="1" x14ac:dyDescent="0.25">
      <c r="A45" s="16" t="s">
        <v>780</v>
      </c>
      <c r="B45" s="32">
        <f>IFERROR(AVERAGE(PSIRT!$E$22:$E$24),0)</f>
        <v>0</v>
      </c>
      <c r="C45" s="32">
        <f>IFERROR(AVERAGE(PSIRT!$G$22:$G$24),0)</f>
        <v>0</v>
      </c>
      <c r="D45" s="32">
        <f t="shared" si="3"/>
        <v>0</v>
      </c>
      <c r="E45" s="33">
        <f t="shared" si="4"/>
        <v>0</v>
      </c>
      <c r="F45" s="33">
        <f t="shared" si="5"/>
        <v>0</v>
      </c>
      <c r="G45" s="24" t="s">
        <v>38</v>
      </c>
    </row>
    <row r="46" spans="1:7" ht="15.75" customHeight="1" x14ac:dyDescent="0.25">
      <c r="A46" s="17" t="s">
        <v>781</v>
      </c>
      <c r="B46" s="34">
        <f>IFERROR(AVERAGE(PSIRT!$E$26:$E$28),0)</f>
        <v>0</v>
      </c>
      <c r="C46" s="34">
        <f>IFERROR(AVERAGE(PSIRT!$G$26:$G$28),0)</f>
        <v>0</v>
      </c>
      <c r="D46" s="34">
        <f t="shared" si="3"/>
        <v>0</v>
      </c>
      <c r="E46" s="35">
        <f t="shared" si="4"/>
        <v>0</v>
      </c>
      <c r="F46" s="35">
        <f t="shared" si="5"/>
        <v>0</v>
      </c>
      <c r="G46" s="30" t="s">
        <v>38</v>
      </c>
    </row>
    <row r="47" spans="1:7" ht="19.5" customHeight="1" x14ac:dyDescent="0.25">
      <c r="A47" s="1" t="s">
        <v>782</v>
      </c>
      <c r="B47" s="1"/>
      <c r="C47" s="1"/>
      <c r="D47" s="1"/>
      <c r="E47" s="1"/>
      <c r="F47" s="1"/>
      <c r="G47" s="1"/>
    </row>
    <row r="48" spans="1:7" ht="15.75" customHeight="1" x14ac:dyDescent="0.25">
      <c r="A48" s="16" t="s">
        <v>758</v>
      </c>
      <c r="B48" s="32">
        <f>IFERROR(AVERAGE(Deception!$E$6:$E$8),0)</f>
        <v>0</v>
      </c>
      <c r="C48" s="32">
        <f>IFERROR(AVERAGE(Deception!$G$6:$G$8),0)</f>
        <v>0</v>
      </c>
      <c r="D48" s="32">
        <f>$C48-$B48</f>
        <v>0</v>
      </c>
      <c r="E48" s="33">
        <f>$B48/5</f>
        <v>0</v>
      </c>
      <c r="F48" s="33">
        <f>$C48/5</f>
        <v>0</v>
      </c>
      <c r="G48" s="24" t="s">
        <v>783</v>
      </c>
    </row>
    <row r="49" spans="1:7" ht="15.75" customHeight="1" x14ac:dyDescent="0.25">
      <c r="A49" s="17" t="s">
        <v>784</v>
      </c>
      <c r="B49" s="34">
        <f>IFERROR(AVERAGE(Deception!$E$10:$E$11),0)</f>
        <v>0</v>
      </c>
      <c r="C49" s="34">
        <f>IFERROR(AVERAGE(Deception!$G$10:$G$11),0)</f>
        <v>0</v>
      </c>
      <c r="D49" s="34">
        <f>$C49-$B49</f>
        <v>0</v>
      </c>
      <c r="E49" s="35">
        <f>$B49/5</f>
        <v>0</v>
      </c>
      <c r="F49" s="35">
        <f>$C49/5</f>
        <v>0</v>
      </c>
      <c r="G49" s="30" t="s">
        <v>783</v>
      </c>
    </row>
    <row r="50" spans="1:7" ht="15.75" customHeight="1" x14ac:dyDescent="0.25">
      <c r="A50" s="16" t="s">
        <v>785</v>
      </c>
      <c r="B50" s="32">
        <f>IFERROR(AVERAGE(Deception!$E$13:$E$14),0)</f>
        <v>0</v>
      </c>
      <c r="C50" s="32">
        <f>IFERROR(AVERAGE(Deception!$G$13:$G$14),0)</f>
        <v>0</v>
      </c>
      <c r="D50" s="32">
        <f>$C50-$B50</f>
        <v>0</v>
      </c>
      <c r="E50" s="33">
        <f>$B50/5</f>
        <v>0</v>
      </c>
      <c r="F50" s="33">
        <f>$C50/5</f>
        <v>0</v>
      </c>
      <c r="G50" s="24" t="s">
        <v>783</v>
      </c>
    </row>
    <row r="51" spans="1:7" ht="15.75" customHeight="1" x14ac:dyDescent="0.25">
      <c r="A51" s="17" t="s">
        <v>786</v>
      </c>
      <c r="B51" s="34">
        <f>IFERROR(AVERAGE(Deception!$E$16:$E$17),0)</f>
        <v>0</v>
      </c>
      <c r="C51" s="34">
        <f>IFERROR(AVERAGE(Deception!$G$16:$G$17),0)</f>
        <v>0</v>
      </c>
      <c r="D51" s="34">
        <f>$C51-$B51</f>
        <v>0</v>
      </c>
      <c r="E51" s="35">
        <f>$B51/5</f>
        <v>0</v>
      </c>
      <c r="F51" s="35">
        <f>$C51/5</f>
        <v>0</v>
      </c>
      <c r="G51" s="30" t="s">
        <v>783</v>
      </c>
    </row>
    <row r="52" spans="1:7" ht="15.75" customHeight="1" x14ac:dyDescent="0.25">
      <c r="A52" s="16" t="s">
        <v>787</v>
      </c>
      <c r="B52" s="32">
        <f>IFERROR(AVERAGE(Deception!$E$19:$E$21),0)</f>
        <v>0</v>
      </c>
      <c r="C52" s="32">
        <f>IFERROR(AVERAGE(Deception!$G$19:$G$21),0)</f>
        <v>0</v>
      </c>
      <c r="D52" s="32">
        <f>$C52-$B52</f>
        <v>0</v>
      </c>
      <c r="E52" s="33">
        <f>$B52/5</f>
        <v>0</v>
      </c>
      <c r="F52" s="33">
        <f>$C52/5</f>
        <v>0</v>
      </c>
      <c r="G52" s="24" t="s">
        <v>783</v>
      </c>
    </row>
    <row r="53" spans="1:7" ht="19.5" customHeight="1" x14ac:dyDescent="0.25">
      <c r="A53" s="1" t="s">
        <v>788</v>
      </c>
      <c r="B53" s="1"/>
      <c r="C53" s="1"/>
      <c r="D53" s="1"/>
      <c r="E53" s="1"/>
      <c r="F53" s="1"/>
      <c r="G53" s="1"/>
    </row>
    <row r="54" spans="1:7" ht="15.75" customHeight="1" x14ac:dyDescent="0.25">
      <c r="A54" s="17" t="s">
        <v>758</v>
      </c>
      <c r="B54" s="34">
        <f>IFERROR(AVERAGE('Vuln Mgmt'!$E$6:$E$8),0)</f>
        <v>0</v>
      </c>
      <c r="C54" s="34">
        <f>IFERROR(AVERAGE('Vuln Mgmt'!$G$6:$G$8),0)</f>
        <v>0</v>
      </c>
      <c r="D54" s="34">
        <f>$C54-$B54</f>
        <v>0</v>
      </c>
      <c r="E54" s="35">
        <f>$B54/5</f>
        <v>0</v>
      </c>
      <c r="F54" s="35">
        <f>$C54/5</f>
        <v>0</v>
      </c>
      <c r="G54" s="30" t="s">
        <v>24</v>
      </c>
    </row>
    <row r="55" spans="1:7" ht="15.75" customHeight="1" x14ac:dyDescent="0.25">
      <c r="A55" s="16" t="s">
        <v>789</v>
      </c>
      <c r="B55" s="32">
        <f>IFERROR(AVERAGE('Vuln Mgmt'!$E$10:$E$12),0)</f>
        <v>0</v>
      </c>
      <c r="C55" s="32">
        <f>IFERROR(AVERAGE('Vuln Mgmt'!$G$10:$G$12),0)</f>
        <v>0</v>
      </c>
      <c r="D55" s="32">
        <f>$C55-$B55</f>
        <v>0</v>
      </c>
      <c r="E55" s="33">
        <f>$B55/5</f>
        <v>0</v>
      </c>
      <c r="F55" s="33">
        <f>$C55/5</f>
        <v>0</v>
      </c>
      <c r="G55" s="24" t="s">
        <v>24</v>
      </c>
    </row>
    <row r="56" spans="1:7" ht="15.75" customHeight="1" x14ac:dyDescent="0.25">
      <c r="A56" s="17" t="s">
        <v>790</v>
      </c>
      <c r="B56" s="34">
        <f>IFERROR(AVERAGE('Vuln Mgmt'!$E$14:$E$16),0)</f>
        <v>0</v>
      </c>
      <c r="C56" s="34">
        <f>IFERROR(AVERAGE('Vuln Mgmt'!$G$14:$G$16),0)</f>
        <v>0</v>
      </c>
      <c r="D56" s="34">
        <f>$C56-$B56</f>
        <v>0</v>
      </c>
      <c r="E56" s="35">
        <f>$B56/5</f>
        <v>0</v>
      </c>
      <c r="F56" s="35">
        <f>$C56/5</f>
        <v>0</v>
      </c>
      <c r="G56" s="30" t="s">
        <v>24</v>
      </c>
    </row>
    <row r="57" spans="1:7" ht="15.75" customHeight="1" x14ac:dyDescent="0.25">
      <c r="A57" s="16" t="s">
        <v>791</v>
      </c>
      <c r="B57" s="32">
        <f>IFERROR(AVERAGE('Vuln Mgmt'!$E$18:$E$20),0)</f>
        <v>0</v>
      </c>
      <c r="C57" s="32">
        <f>IFERROR(AVERAGE('Vuln Mgmt'!$G$18:$G$20),0)</f>
        <v>0</v>
      </c>
      <c r="D57" s="32">
        <f>$C57-$B57</f>
        <v>0</v>
      </c>
      <c r="E57" s="33">
        <f>$B57/5</f>
        <v>0</v>
      </c>
      <c r="F57" s="33">
        <f>$C57/5</f>
        <v>0</v>
      </c>
      <c r="G57" s="24" t="s">
        <v>24</v>
      </c>
    </row>
    <row r="58" spans="1:7" ht="15.75" customHeight="1" x14ac:dyDescent="0.25">
      <c r="A58" s="17" t="s">
        <v>792</v>
      </c>
      <c r="B58" s="34">
        <f>IFERROR(AVERAGE('Vuln Mgmt'!$E$22:$E$24),0)</f>
        <v>0</v>
      </c>
      <c r="C58" s="34">
        <f>IFERROR(AVERAGE('Vuln Mgmt'!$G$22:$G$24),0)</f>
        <v>0</v>
      </c>
      <c r="D58" s="34">
        <f>$C58-$B58</f>
        <v>0</v>
      </c>
      <c r="E58" s="35">
        <f>$B58/5</f>
        <v>0</v>
      </c>
      <c r="F58" s="35">
        <f>$C58/5</f>
        <v>0</v>
      </c>
      <c r="G58" s="30" t="s">
        <v>24</v>
      </c>
    </row>
    <row r="59" spans="1:7" ht="19.5" customHeight="1" x14ac:dyDescent="0.25">
      <c r="A59" s="1" t="s">
        <v>793</v>
      </c>
      <c r="B59" s="1"/>
      <c r="C59" s="1"/>
      <c r="D59" s="1"/>
      <c r="E59" s="1"/>
      <c r="F59" s="1"/>
      <c r="G59" s="1"/>
    </row>
    <row r="60" spans="1:7" ht="15.75" customHeight="1" x14ac:dyDescent="0.25">
      <c r="A60" s="16" t="s">
        <v>794</v>
      </c>
      <c r="B60" s="32">
        <f>IFERROR(AVERAGE(Automacao!$E$6:$E$8),0)</f>
        <v>0</v>
      </c>
      <c r="C60" s="32">
        <f>IFERROR(AVERAGE(Automacao!$G$6:$G$8),0)</f>
        <v>0</v>
      </c>
      <c r="D60" s="32">
        <f>$C60-$B60</f>
        <v>0</v>
      </c>
      <c r="E60" s="33">
        <f>$B60/5</f>
        <v>0</v>
      </c>
      <c r="F60" s="33">
        <f>$C60/5</f>
        <v>0</v>
      </c>
      <c r="G60" s="24" t="s">
        <v>783</v>
      </c>
    </row>
    <row r="61" spans="1:7" ht="15.75" customHeight="1" x14ac:dyDescent="0.25">
      <c r="A61" s="17" t="s">
        <v>795</v>
      </c>
      <c r="B61" s="34">
        <f>IFERROR(AVERAGE(Automacao!$E$10:$E$12),0)</f>
        <v>0</v>
      </c>
      <c r="C61" s="34">
        <f>IFERROR(AVERAGE(Automacao!$G$10:$G$12),0)</f>
        <v>0</v>
      </c>
      <c r="D61" s="34">
        <f>$C61-$B61</f>
        <v>0</v>
      </c>
      <c r="E61" s="35">
        <f>$B61/5</f>
        <v>0</v>
      </c>
      <c r="F61" s="35">
        <f>$C61/5</f>
        <v>0</v>
      </c>
      <c r="G61" s="30" t="s">
        <v>783</v>
      </c>
    </row>
    <row r="62" spans="1:7" ht="15.75" customHeight="1" x14ac:dyDescent="0.25">
      <c r="A62" s="16" t="s">
        <v>796</v>
      </c>
      <c r="B62" s="32">
        <f>IFERROR(AVERAGE(Automacao!$E$14:$E$16),0)</f>
        <v>0</v>
      </c>
      <c r="C62" s="32">
        <f>IFERROR(AVERAGE(Automacao!$G$14:$G$16),0)</f>
        <v>0</v>
      </c>
      <c r="D62" s="32">
        <f>$C62-$B62</f>
        <v>0</v>
      </c>
      <c r="E62" s="33">
        <f>$B62/5</f>
        <v>0</v>
      </c>
      <c r="F62" s="33">
        <f>$C62/5</f>
        <v>0</v>
      </c>
      <c r="G62" s="24" t="s">
        <v>783</v>
      </c>
    </row>
    <row r="63" spans="1:7" x14ac:dyDescent="0.25">
      <c r="A63" s="36" t="s">
        <v>797</v>
      </c>
      <c r="B63" s="15"/>
      <c r="C63" s="15"/>
      <c r="D63" s="15"/>
      <c r="E63" s="37">
        <f>IFERROR(AVERAGE($E$10:$E$62),0)</f>
        <v>0</v>
      </c>
      <c r="F63" s="37">
        <f>IFERROR(AVERAGE($F$10:$F$62),0)</f>
        <v>0</v>
      </c>
      <c r="G63" s="15"/>
    </row>
    <row r="65" spans="1:7" x14ac:dyDescent="0.25">
      <c r="A65" s="12" t="s">
        <v>798</v>
      </c>
      <c r="B65" s="12"/>
      <c r="C65" s="12"/>
      <c r="D65" s="12"/>
      <c r="E65" s="12"/>
      <c r="F65" s="12"/>
      <c r="G65" s="12"/>
    </row>
    <row r="66" spans="1:7" x14ac:dyDescent="0.25">
      <c r="A66" s="15" t="s">
        <v>799</v>
      </c>
      <c r="E66" s="15" t="s">
        <v>743</v>
      </c>
      <c r="F66" s="15" t="s">
        <v>744</v>
      </c>
    </row>
    <row r="67" spans="1:7" x14ac:dyDescent="0.25">
      <c r="A67" s="38" t="s">
        <v>11</v>
      </c>
      <c r="E67" s="39">
        <f>IFERROR(AVERAGE($E$9:$E$19),0)</f>
        <v>0</v>
      </c>
      <c r="F67" s="39">
        <f>IFERROR(AVERAGE($F$9:$F$19),0)</f>
        <v>0</v>
      </c>
    </row>
    <row r="68" spans="1:7" x14ac:dyDescent="0.25">
      <c r="A68" s="38" t="s">
        <v>16</v>
      </c>
      <c r="E68" s="39">
        <f>IFERROR(AVERAGE($E$20:$E$23),0)</f>
        <v>0</v>
      </c>
      <c r="F68" s="39">
        <f>IFERROR(AVERAGE($F$20:$F$23),0)</f>
        <v>0</v>
      </c>
    </row>
    <row r="69" spans="1:7" x14ac:dyDescent="0.25">
      <c r="A69" s="38" t="s">
        <v>800</v>
      </c>
      <c r="E69" s="39">
        <f>IFERROR(AVERAGE($E$24:$E$27),0)</f>
        <v>0</v>
      </c>
      <c r="F69" s="39">
        <f>IFERROR(AVERAGE($F$24:$F$27),0)</f>
        <v>0</v>
      </c>
    </row>
    <row r="70" spans="1:7" x14ac:dyDescent="0.25">
      <c r="A70" s="38" t="s">
        <v>801</v>
      </c>
      <c r="E70" s="39">
        <f>IFERROR(AVERAGE($E$28:$E$30),0)</f>
        <v>0</v>
      </c>
      <c r="F70" s="39">
        <f>IFERROR(AVERAGE($F$28:$F$30),0)</f>
        <v>0</v>
      </c>
    </row>
    <row r="71" spans="1:7" x14ac:dyDescent="0.25">
      <c r="A71" s="38" t="s">
        <v>30</v>
      </c>
      <c r="E71" s="39">
        <f>IFERROR(AVERAGE($E$31:$E$34),0)</f>
        <v>0</v>
      </c>
      <c r="F71" s="39">
        <f>IFERROR(AVERAGE($F$31:$F$34),0)</f>
        <v>0</v>
      </c>
    </row>
    <row r="72" spans="1:7" x14ac:dyDescent="0.25">
      <c r="A72" s="38" t="s">
        <v>35</v>
      </c>
      <c r="E72" s="39">
        <f>IFERROR(AVERAGE($E$35:$E$40),0)</f>
        <v>0</v>
      </c>
      <c r="F72" s="39">
        <f>IFERROR(AVERAGE($F$35:$F$40),0)</f>
        <v>0</v>
      </c>
    </row>
    <row r="73" spans="1:7" x14ac:dyDescent="0.25">
      <c r="A73" s="38" t="s">
        <v>40</v>
      </c>
      <c r="E73" s="39">
        <f>IFERROR(AVERAGE($E$41:$E$45),0)</f>
        <v>0</v>
      </c>
      <c r="F73" s="39">
        <f>IFERROR(AVERAGE($F$41:$F$45),0)</f>
        <v>0</v>
      </c>
    </row>
    <row r="74" spans="1:7" x14ac:dyDescent="0.25">
      <c r="A74" s="38" t="s">
        <v>802</v>
      </c>
      <c r="E74" s="39">
        <f>IFERROR(AVERAGE($E$46:$E$50),0)</f>
        <v>0</v>
      </c>
      <c r="F74" s="39">
        <f>IFERROR(AVERAGE($F$46:$F$50),0)</f>
        <v>0</v>
      </c>
    </row>
    <row r="75" spans="1:7" x14ac:dyDescent="0.25">
      <c r="A75" s="38" t="s">
        <v>803</v>
      </c>
      <c r="E75" s="39">
        <f>IFERROR(AVERAGE($E$51:$E$53),0)</f>
        <v>0</v>
      </c>
      <c r="F75" s="39">
        <f>IFERROR(AVERAGE($F$51:$F$53),0)</f>
        <v>0</v>
      </c>
    </row>
    <row r="78" spans="1:7" x14ac:dyDescent="0.25">
      <c r="A78" s="40" t="s">
        <v>804</v>
      </c>
    </row>
    <row r="79" spans="1:7" x14ac:dyDescent="0.25">
      <c r="A79" s="41" t="s">
        <v>805</v>
      </c>
      <c r="B79" s="41" t="s">
        <v>103</v>
      </c>
    </row>
    <row r="80" spans="1:7" x14ac:dyDescent="0.25">
      <c r="A80" s="41" t="s">
        <v>806</v>
      </c>
      <c r="B80" s="41" t="s">
        <v>80</v>
      </c>
    </row>
    <row r="81" spans="1:2" x14ac:dyDescent="0.25">
      <c r="A81" s="41" t="s">
        <v>807</v>
      </c>
      <c r="B81" s="41" t="s">
        <v>808</v>
      </c>
    </row>
    <row r="82" spans="1:2" x14ac:dyDescent="0.25">
      <c r="A82" s="41" t="s">
        <v>809</v>
      </c>
      <c r="B82" s="41" t="s">
        <v>84</v>
      </c>
    </row>
    <row r="83" spans="1:2" x14ac:dyDescent="0.25">
      <c r="A83" s="41" t="s">
        <v>810</v>
      </c>
      <c r="B83" s="41" t="s">
        <v>82</v>
      </c>
    </row>
    <row r="84" spans="1:2" x14ac:dyDescent="0.25">
      <c r="A84" s="41" t="s">
        <v>811</v>
      </c>
      <c r="B84" s="41" t="s">
        <v>89</v>
      </c>
    </row>
  </sheetData>
  <mergeCells count="16">
    <mergeCell ref="A65:G65"/>
    <mergeCell ref="A35:G35"/>
    <mergeCell ref="A40:G40"/>
    <mergeCell ref="A47:G47"/>
    <mergeCell ref="A53:G53"/>
    <mergeCell ref="A59:G59"/>
    <mergeCell ref="A7:G7"/>
    <mergeCell ref="A9:G9"/>
    <mergeCell ref="A21:G21"/>
    <mergeCell ref="A26:G26"/>
    <mergeCell ref="A31:G31"/>
    <mergeCell ref="A1:H1"/>
    <mergeCell ref="A2:H2"/>
    <mergeCell ref="A4:A5"/>
    <mergeCell ref="B4:C5"/>
    <mergeCell ref="D4:G5"/>
  </mergeCells>
  <conditionalFormatting sqref="E10:E62">
    <cfRule type="colorScale" priority="2">
      <colorScale>
        <cfvo type="num" val="0"/>
        <cfvo type="num" val="0.5"/>
        <cfvo type="num" val="1"/>
        <color rgb="FFF1948A"/>
        <color rgb="FFF7DC6F"/>
        <color rgb="FF7DCEA0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Framework</vt:lpstr>
      <vt:lpstr>CTI</vt:lpstr>
      <vt:lpstr>Threat Hunting</vt:lpstr>
      <vt:lpstr>Detection Eng</vt:lpstr>
      <vt:lpstr>DFIR</vt:lpstr>
      <vt:lpstr>CSIRT</vt:lpstr>
      <vt:lpstr>PSIRT</vt:lpstr>
      <vt:lpstr>Deception</vt:lpstr>
      <vt:lpstr>Vuln Mgmt</vt:lpstr>
      <vt:lpstr>Automacao</vt:lpstr>
      <vt:lpstr>Dash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Henchen</cp:lastModifiedBy>
  <cp:revision>1</cp:revision>
  <dcterms:created xsi:type="dcterms:W3CDTF">2026-06-17T20:31:59Z</dcterms:created>
  <dcterms:modified xsi:type="dcterms:W3CDTF">2026-06-18T11:16:58Z</dcterms:modified>
  <dc:language>en-US</dc:language>
</cp:coreProperties>
</file>